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5" i="1"/>
  <c r="B38"/>
  <c r="B37"/>
  <c r="G30"/>
  <c r="G25"/>
  <c r="G10"/>
  <c r="G20"/>
  <c r="G15"/>
</calcChain>
</file>

<file path=xl/sharedStrings.xml><?xml version="1.0" encoding="utf-8"?>
<sst xmlns="http://schemas.openxmlformats.org/spreadsheetml/2006/main" count="77" uniqueCount="50">
  <si>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</si>
  <si>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</si>
  <si>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</si>
  <si>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</si>
  <si>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</si>
  <si>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</si>
  <si>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</si>
  <si>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</si>
  <si>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</si>
  <si>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</si>
  <si>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</si>
  <si>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</si>
  <si>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</si>
  <si>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</si>
  <si>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</si>
  <si>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</si>
  <si>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</si>
  <si>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</si>
  <si>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</si>
  <si>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</si>
  <si>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</si>
  <si>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</si>
  <si>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</si>
  <si>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</si>
  <si>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</si>
  <si>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</si>
  <si>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</si>
  <si>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</si>
  <si>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</si>
  <si>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</si>
  <si>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</si>
  <si>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</si>
  <si>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</si>
  <si>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Jan-12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</si>
  <si>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</si>
  <si>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</si>
  <si>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</si>
  <si>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</si>
  <si>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</si>
  <si>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</si>
  <si>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</si>
  <si>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</si>
  <si>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</si>
  <si>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Misc Debit</t>
  </si>
  <si>
    <t>OD Charge</t>
  </si>
  <si>
    <t>Fid life Ins.</t>
  </si>
  <si>
    <t>GCB NFS</t>
  </si>
  <si>
    <t>GCB Fee</t>
  </si>
  <si>
    <t>Previous Total</t>
  </si>
  <si>
    <t>total TX fund transfer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</si>
</sst>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5" workbookViewId="0">
      <selection activeCell="D35" sqref="D35"/>
    </sheetView>
  </sheetViews>
  <sheetFormatPr defaultRowHeight="15"/>
  <cols>
    <col min="1" max="1" width="19" customWidth="1"/>
    <col min="2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33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40911</v>
      </c>
      <c r="C3" s="20"/>
      <c r="D3" s="20">
        <v>40918</v>
      </c>
      <c r="E3" s="20">
        <v>40935</v>
      </c>
      <c r="F3" s="20"/>
      <c r="G3" s="20"/>
    </row>
    <row r="4" spans="1:7">
      <c r="A4" s="7" t="s">
        <v>2</v>
      </c>
      <c r="B4" s="21">
        <v>5129</v>
      </c>
      <c r="C4" s="21"/>
      <c r="D4" s="21">
        <v>265</v>
      </c>
      <c r="E4" s="21">
        <v>590</v>
      </c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8"/>
      <c r="C8" s="8"/>
      <c r="D8" s="8"/>
      <c r="E8" s="8"/>
      <c r="F8" s="8"/>
      <c r="G8" s="9"/>
    </row>
    <row r="9" spans="1:7">
      <c r="A9" s="6" t="s">
        <v>2</v>
      </c>
      <c r="B9" s="8"/>
      <c r="C9" s="8"/>
      <c r="D9" s="8"/>
      <c r="E9" s="8"/>
      <c r="F9" s="8"/>
      <c r="G9" s="8"/>
    </row>
    <row r="10" spans="1:7">
      <c r="A10" s="2"/>
      <c r="F10" s="4" t="s">
        <v>36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34</v>
      </c>
      <c r="C12" s="8" t="s">
        <v>34</v>
      </c>
      <c r="D12" s="8"/>
      <c r="E12" s="8"/>
      <c r="F12" s="8"/>
      <c r="G12" s="8"/>
    </row>
    <row r="13" spans="1:7">
      <c r="A13" s="6" t="s">
        <v>5</v>
      </c>
      <c r="B13" s="8" t="s">
        <v>35</v>
      </c>
      <c r="C13" s="8" t="s">
        <v>35</v>
      </c>
      <c r="D13" s="8"/>
      <c r="E13" s="8"/>
      <c r="F13" s="8"/>
      <c r="G13" s="8"/>
    </row>
    <row r="14" spans="1:7">
      <c r="A14" s="6" t="s">
        <v>2</v>
      </c>
      <c r="B14" s="9">
        <v>49.32</v>
      </c>
      <c r="C14" s="9">
        <v>49.32</v>
      </c>
      <c r="D14" s="9"/>
      <c r="E14" s="9"/>
      <c r="F14" s="9"/>
      <c r="G14" s="9"/>
    </row>
    <row r="15" spans="1:7">
      <c r="A15" s="2"/>
      <c r="F15" s="4" t="s">
        <v>36</v>
      </c>
      <c r="G15" s="9">
        <f>SUM(B14:G14)</f>
        <v>98.64</v>
      </c>
    </row>
    <row r="16" spans="1:7">
      <c r="A16" s="3" t="s">
        <v>7</v>
      </c>
    </row>
    <row r="17" spans="1:7">
      <c r="A17" s="6" t="s">
        <v>4</v>
      </c>
      <c r="B17" s="8" t="s">
        <v>37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35</v>
      </c>
      <c r="C18" s="8"/>
      <c r="D18" s="8"/>
      <c r="E18" s="8"/>
      <c r="F18" s="8"/>
      <c r="G18" s="8"/>
    </row>
    <row r="19" spans="1:7">
      <c r="A19" s="6" t="s">
        <v>2</v>
      </c>
      <c r="B19" s="9">
        <v>4521</v>
      </c>
      <c r="C19" s="9"/>
      <c r="D19" s="9"/>
      <c r="E19" s="9"/>
      <c r="F19" s="9"/>
      <c r="G19" s="9"/>
    </row>
    <row r="20" spans="1:7">
      <c r="A20" s="2"/>
      <c r="F20" s="4" t="s">
        <v>36</v>
      </c>
      <c r="G20" s="9">
        <f>SUM(B19:G19)</f>
        <v>4521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8"/>
      <c r="C24" s="8"/>
      <c r="D24" s="8"/>
      <c r="E24" s="8"/>
      <c r="F24" s="8"/>
      <c r="G24" s="8"/>
    </row>
    <row r="25" spans="1:7">
      <c r="A25" s="2"/>
      <c r="F25" s="4" t="s">
        <v>36</v>
      </c>
      <c r="G25" s="9">
        <f>SUM(B24:G24)</f>
        <v>0</v>
      </c>
    </row>
    <row r="26" spans="1:7">
      <c r="A26" s="22" t="s">
        <v>38</v>
      </c>
      <c r="B26" s="22"/>
      <c r="C26" s="22"/>
      <c r="D26" s="22"/>
      <c r="E26" s="22"/>
    </row>
    <row r="27" spans="1:7">
      <c r="A27" s="11" t="s">
        <v>5</v>
      </c>
      <c r="B27" s="8" t="s">
        <v>41</v>
      </c>
      <c r="C27" s="8" t="s">
        <v>42</v>
      </c>
      <c r="D27" s="8" t="s">
        <v>42</v>
      </c>
      <c r="E27" s="8" t="s">
        <v>42</v>
      </c>
      <c r="F27" s="8" t="s">
        <v>42</v>
      </c>
      <c r="G27" s="8"/>
    </row>
    <row r="28" spans="1:7">
      <c r="A28" s="11" t="s">
        <v>0</v>
      </c>
      <c r="B28" s="8" t="s">
        <v>43</v>
      </c>
      <c r="C28" s="8" t="s">
        <v>44</v>
      </c>
      <c r="D28" s="8" t="s">
        <v>45</v>
      </c>
      <c r="E28" s="8" t="s">
        <v>46</v>
      </c>
      <c r="F28" s="8" t="s">
        <v>47</v>
      </c>
      <c r="G28" s="8"/>
    </row>
    <row r="29" spans="1:7">
      <c r="A29" s="11" t="s">
        <v>2</v>
      </c>
      <c r="B29" s="9">
        <v>248.38</v>
      </c>
      <c r="C29" s="9">
        <v>32</v>
      </c>
      <c r="D29" s="9">
        <v>47.85</v>
      </c>
      <c r="E29" s="9">
        <v>30</v>
      </c>
      <c r="F29" s="9">
        <v>12</v>
      </c>
      <c r="G29" s="9">
        <v>0</v>
      </c>
    </row>
    <row r="30" spans="1:7">
      <c r="A30" s="2"/>
      <c r="F30" s="4" t="s">
        <v>36</v>
      </c>
      <c r="G30" s="9">
        <f>SUM(B29:G29)</f>
        <v>370.23</v>
      </c>
    </row>
    <row r="31" spans="1:7">
      <c r="A31" s="22" t="s">
        <v>39</v>
      </c>
      <c r="B31" s="22"/>
      <c r="C31" s="22"/>
      <c r="D31" s="22"/>
      <c r="E31" s="22"/>
    </row>
    <row r="32" spans="1:7">
      <c r="A32" s="11" t="s">
        <v>5</v>
      </c>
      <c r="B32" s="8">
        <v>2819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3000</v>
      </c>
      <c r="C34" s="9"/>
      <c r="D34" s="9"/>
      <c r="E34" s="9"/>
      <c r="F34" s="9"/>
      <c r="G34" s="9"/>
    </row>
    <row r="35" spans="1:7">
      <c r="A35" s="2"/>
      <c r="E35" s="23" t="s">
        <v>49</v>
      </c>
      <c r="F35" s="24"/>
      <c r="G35" s="9">
        <f>SUM(B34:G34)</f>
        <v>3000</v>
      </c>
    </row>
    <row r="36" spans="1:7">
      <c r="A36" s="6" t="s">
        <v>9</v>
      </c>
      <c r="B36" s="16">
        <v>5129</v>
      </c>
      <c r="E36" s="15" t="s">
        <v>22</v>
      </c>
      <c r="F36" s="15"/>
      <c r="G36" s="16"/>
    </row>
    <row r="37" spans="1:7">
      <c r="A37" s="6" t="s">
        <v>10</v>
      </c>
      <c r="B37" s="16">
        <f>SUM(G10+G15+G20+G25+G30)</f>
        <v>4989.8700000000008</v>
      </c>
      <c r="E37" s="15" t="s">
        <v>40</v>
      </c>
      <c r="F37" s="15"/>
      <c r="G37" s="16"/>
    </row>
    <row r="38" spans="1:7">
      <c r="A38" s="6" t="s">
        <v>11</v>
      </c>
      <c r="B38" s="16">
        <f>SUM(B36-B37)</f>
        <v>139.1299999999992</v>
      </c>
      <c r="E38" s="15" t="s">
        <v>23</v>
      </c>
      <c r="F38" s="15"/>
      <c r="G38" s="16">
        <v>3000</v>
      </c>
    </row>
    <row r="39" spans="1:7">
      <c r="A39" s="6" t="s">
        <v>12</v>
      </c>
      <c r="B39" s="16"/>
      <c r="E39" s="15" t="s">
        <v>24</v>
      </c>
      <c r="F39" s="15"/>
      <c r="G39" s="16">
        <v>0</v>
      </c>
    </row>
    <row r="40" spans="1:7">
      <c r="A40" s="6"/>
      <c r="B40" s="16"/>
      <c r="E40" s="15" t="s">
        <v>25</v>
      </c>
      <c r="F40" s="15"/>
      <c r="G40" s="16">
        <v>855</v>
      </c>
    </row>
    <row r="41" spans="1:7">
      <c r="A41" s="6" t="s">
        <v>13</v>
      </c>
      <c r="B41" s="16">
        <v>139.13</v>
      </c>
      <c r="E41" s="15" t="s">
        <v>26</v>
      </c>
      <c r="F41" s="15"/>
      <c r="G41" s="16"/>
    </row>
    <row r="42" spans="1:7">
      <c r="A42" s="6" t="s">
        <v>48</v>
      </c>
      <c r="B42" s="16"/>
      <c r="E42" s="15" t="s">
        <v>27</v>
      </c>
      <c r="F42" s="15"/>
      <c r="G42" s="16"/>
    </row>
    <row r="43" spans="1:7">
      <c r="A43" s="6" t="s">
        <v>14</v>
      </c>
      <c r="B43" s="16">
        <v>139.13</v>
      </c>
      <c r="E43" s="15" t="s">
        <v>29</v>
      </c>
      <c r="F43" s="15"/>
      <c r="G43" s="16"/>
    </row>
    <row r="44" spans="1:7">
      <c r="A44" s="2"/>
      <c r="E44" s="15" t="s">
        <v>28</v>
      </c>
      <c r="F44" s="15"/>
      <c r="G44" s="1">
        <v>2145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/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2013-12-08T20:09:05Z</cp:lastPrinted>
  <dcterms:created xsi:type="dcterms:W3CDTF">2013-12-08T18:16:41Z</dcterms:created>
  <dcterms:modified xsi:type="dcterms:W3CDTF">2013-12-08T20:11:25Z</dcterms:modified>
</cp:coreProperties>
</file>