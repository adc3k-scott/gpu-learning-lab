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<sst xmlns="http://schemas.openxmlformats.org/spreadsheetml/2006/main" count="82" uniqueCount="53">
  <si>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</si>
  <si>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</si>
  <si>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</si>
  <si>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</si>
  <si>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</si>
  <si>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</si>
  <si>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</si>
  <si>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</si>
  <si>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</si>
  <si>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</si>
  <si>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</si>
  <si>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</si>
  <si>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</si>
  <si>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</si>
  <si>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</si>
  <si>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</si>
  <si>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</si>
  <si>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</si>
  <si>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</si>
  <si>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</si>
  <si>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</si>
  <si>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</si>
  <si>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</si>
  <si>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</si>
  <si>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</si>
  <si>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</si>
  <si>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</si>
  <si>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</si>
  <si>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</si>
  <si>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</si>
  <si>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</si>
  <si>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</si>
  <si>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</si>
  <si>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</si>
  <si>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</si>
  <si>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</si>
  <si>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</si>
  <si>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</si>
  <si>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</si>
  <si>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</si>
  <si>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GCB</t>
  </si>
  <si>
    <t>D.D.</t>
  </si>
  <si>
    <t>OD Charge</t>
  </si>
  <si>
    <t>Previous Total</t>
  </si>
  <si>
    <t>total TX fund transfer</t>
  </si>
  <si>
    <t>Bank Fees</t>
  </si>
  <si>
    <t>Chase epay</t>
  </si>
  <si>
    <t>Johnson street note</t>
  </si>
  <si>
    <t>Fid Life</t>
  </si>
  <si>
    <t xml:space="preserve">  </t>
  </si>
  <si>
    <t>NFS fee</t>
  </si>
  <si>
    <t>Wire fee</t>
  </si>
  <si>
    <t>Dec-12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</si>
</sst>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6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6" fontId="0" fillId="0" borderId="2" xfId="0" applyNumberForma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0" fillId="0" borderId="4" xfId="0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workbookViewId="0">
      <selection activeCell="G45" sqref="G45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13" t="s">
        <v>19</v>
      </c>
      <c r="C1" s="13"/>
      <c r="D1" s="13"/>
      <c r="E1" s="13"/>
      <c r="F1" s="14" t="s">
        <v>52</v>
      </c>
      <c r="G1" s="14"/>
    </row>
    <row r="2" spans="1:7">
      <c r="A2" s="7" t="s">
        <v>0</v>
      </c>
      <c r="B2" s="12" t="s">
        <v>16</v>
      </c>
      <c r="C2" s="12"/>
      <c r="D2" s="12" t="s">
        <v>17</v>
      </c>
      <c r="E2" s="12"/>
      <c r="F2" s="12" t="s">
        <v>18</v>
      </c>
      <c r="G2" s="12"/>
    </row>
    <row r="3" spans="1:7">
      <c r="A3" s="7" t="s">
        <v>1</v>
      </c>
      <c r="B3" s="20">
        <v>41246</v>
      </c>
      <c r="C3" s="20"/>
      <c r="D3" s="20"/>
      <c r="E3" s="20"/>
      <c r="F3" s="20"/>
      <c r="G3" s="20"/>
    </row>
    <row r="4" spans="1:7">
      <c r="A4" s="7" t="s">
        <v>2</v>
      </c>
      <c r="B4" s="21">
        <v>5896</v>
      </c>
      <c r="C4" s="21"/>
      <c r="D4" s="21">
        <v>0</v>
      </c>
      <c r="E4" s="21"/>
      <c r="F4" s="21"/>
      <c r="G4" s="21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8"/>
      <c r="C8" s="8"/>
      <c r="D8" s="8"/>
      <c r="E8" s="8"/>
      <c r="F8" s="8"/>
      <c r="G8" s="9"/>
    </row>
    <row r="9" spans="1:7">
      <c r="A9" s="6" t="s">
        <v>2</v>
      </c>
      <c r="B9" s="9">
        <v>0</v>
      </c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 t="s">
        <v>36</v>
      </c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8">
        <v>2868</v>
      </c>
      <c r="E13" s="8"/>
      <c r="F13" s="8"/>
      <c r="G13" s="8"/>
    </row>
    <row r="14" spans="1:7">
      <c r="A14" s="6" t="s">
        <v>2</v>
      </c>
      <c r="B14" s="9">
        <v>52.11</v>
      </c>
      <c r="C14" s="9">
        <v>52.11</v>
      </c>
      <c r="D14" s="9">
        <v>1125</v>
      </c>
      <c r="E14" s="9">
        <v>0</v>
      </c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1229.22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22" t="s">
        <v>37</v>
      </c>
      <c r="B26" s="22"/>
      <c r="C26" s="22"/>
      <c r="D26" s="22"/>
      <c r="E26" s="22"/>
    </row>
    <row r="27" spans="1:7">
      <c r="A27" s="11" t="s">
        <v>5</v>
      </c>
      <c r="B27" s="8" t="s">
        <v>40</v>
      </c>
      <c r="C27" s="8" t="s">
        <v>41</v>
      </c>
      <c r="D27" s="8" t="s">
        <v>41</v>
      </c>
      <c r="E27" s="8" t="s">
        <v>41</v>
      </c>
      <c r="F27" s="8" t="s">
        <v>41</v>
      </c>
      <c r="G27" s="8" t="s">
        <v>41</v>
      </c>
    </row>
    <row r="28" spans="1:7">
      <c r="A28" s="11" t="s">
        <v>0</v>
      </c>
      <c r="B28" s="8" t="s">
        <v>45</v>
      </c>
      <c r="C28" s="8" t="s">
        <v>46</v>
      </c>
      <c r="D28" s="8" t="s">
        <v>48</v>
      </c>
      <c r="E28" s="8" t="s">
        <v>51</v>
      </c>
      <c r="F28" s="8" t="s">
        <v>50</v>
      </c>
      <c r="G28" s="8" t="s">
        <v>42</v>
      </c>
    </row>
    <row r="29" spans="1:7">
      <c r="A29" s="11" t="s">
        <v>2</v>
      </c>
      <c r="B29" s="9">
        <v>12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59.85</v>
      </c>
    </row>
    <row r="31" spans="1:7">
      <c r="A31" s="22" t="s">
        <v>38</v>
      </c>
      <c r="B31" s="22"/>
      <c r="C31" s="22"/>
      <c r="D31" s="22"/>
      <c r="E31" s="22"/>
    </row>
    <row r="32" spans="1:7">
      <c r="A32" s="11" t="s">
        <v>5</v>
      </c>
      <c r="B32" s="8">
        <v>2867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2275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44</v>
      </c>
      <c r="F35" s="24"/>
      <c r="G35" s="9">
        <f>SUM(B34:G34)</f>
        <v>2275</v>
      </c>
    </row>
    <row r="36" spans="1:7">
      <c r="A36" s="6" t="s">
        <v>9</v>
      </c>
      <c r="B36" s="16">
        <v>5896</v>
      </c>
      <c r="E36" s="15" t="s">
        <v>22</v>
      </c>
      <c r="F36" s="15"/>
      <c r="G36" s="16">
        <v>0</v>
      </c>
    </row>
    <row r="37" spans="1:7">
      <c r="A37" s="6" t="s">
        <v>10</v>
      </c>
      <c r="B37" s="16">
        <f>SUM(G10+G15+G20+G25+G30)</f>
        <v>3511.9199999999996</v>
      </c>
      <c r="E37" s="15" t="s">
        <v>39</v>
      </c>
      <c r="F37" s="15"/>
      <c r="G37" s="16">
        <v>1500.87</v>
      </c>
    </row>
    <row r="38" spans="1:7">
      <c r="A38" s="6" t="s">
        <v>11</v>
      </c>
      <c r="B38" s="16">
        <f>SUM(B36-B37)</f>
        <v>2384.0800000000004</v>
      </c>
      <c r="E38" s="15" t="s">
        <v>23</v>
      </c>
      <c r="F38" s="15"/>
      <c r="G38" s="16">
        <f>SUM(G35-G36-G37)</f>
        <v>774.13000000000011</v>
      </c>
    </row>
    <row r="39" spans="1:7">
      <c r="A39" s="6" t="s">
        <v>12</v>
      </c>
      <c r="B39" s="16">
        <v>0</v>
      </c>
      <c r="E39" s="15" t="s">
        <v>24</v>
      </c>
      <c r="F39" s="15"/>
      <c r="G39" s="16">
        <v>0</v>
      </c>
    </row>
    <row r="40" spans="1:7">
      <c r="A40" s="6" t="s">
        <v>47</v>
      </c>
      <c r="B40" s="16">
        <v>1500.87</v>
      </c>
      <c r="E40" s="15" t="s">
        <v>25</v>
      </c>
      <c r="F40" s="15"/>
      <c r="G40" s="16">
        <v>0</v>
      </c>
    </row>
    <row r="41" spans="1:7">
      <c r="A41" s="6" t="s">
        <v>13</v>
      </c>
      <c r="B41" s="16">
        <f>SUM(B38-B39-B40)</f>
        <v>883.21000000000049</v>
      </c>
      <c r="E41" s="15" t="s">
        <v>26</v>
      </c>
      <c r="F41" s="15"/>
      <c r="G41" s="16"/>
    </row>
    <row r="42" spans="1:7">
      <c r="A42" s="6" t="s">
        <v>43</v>
      </c>
      <c r="B42" s="16">
        <v>-1353.15</v>
      </c>
      <c r="E42" s="15" t="s">
        <v>27</v>
      </c>
      <c r="F42" s="15"/>
      <c r="G42" s="16">
        <v>774.13</v>
      </c>
    </row>
    <row r="43" spans="1:7">
      <c r="A43" s="6" t="s">
        <v>14</v>
      </c>
      <c r="B43" s="16">
        <v>-469.94</v>
      </c>
      <c r="E43" s="15" t="s">
        <v>29</v>
      </c>
      <c r="F43" s="15"/>
      <c r="G43" s="16">
        <v>3733.31</v>
      </c>
    </row>
    <row r="44" spans="1:7">
      <c r="A44" s="2"/>
      <c r="E44" s="15" t="s">
        <v>28</v>
      </c>
      <c r="F44" s="15"/>
      <c r="G44" s="1">
        <v>4507.4399999999996</v>
      </c>
    </row>
    <row r="45" spans="1:7">
      <c r="A45" s="2"/>
      <c r="B45" s="17"/>
      <c r="C45" s="18" t="s">
        <v>20</v>
      </c>
      <c r="D45" s="9">
        <v>0</v>
      </c>
      <c r="E45" s="15" t="s">
        <v>30</v>
      </c>
      <c r="F45" s="15"/>
      <c r="G45" s="9" t="s">
        <v>49</v>
      </c>
    </row>
    <row r="46" spans="1:7">
      <c r="A46" s="2"/>
      <c r="B46" s="17"/>
      <c r="C46" s="19" t="s">
        <v>21</v>
      </c>
      <c r="D46" s="9">
        <v>0</v>
      </c>
      <c r="E46" s="15" t="s">
        <v>31</v>
      </c>
      <c r="F46" s="15"/>
      <c r="G46" s="9"/>
    </row>
    <row r="47" spans="1:7">
      <c r="A47" s="7" t="s">
        <v>15</v>
      </c>
      <c r="B47" s="9">
        <v>100</v>
      </c>
      <c r="E47" s="15" t="s">
        <v>32</v>
      </c>
      <c r="F47" s="15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2013-12-09T20:31:56Z</cp:lastPrinted>
  <dcterms:created xsi:type="dcterms:W3CDTF">2013-12-08T18:16:41Z</dcterms:created>
  <dcterms:modified xsi:type="dcterms:W3CDTF">2013-12-09T21:14:38Z</dcterms:modified>
</cp:coreProperties>
</file>