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35" i="1"/>
  <c r="G38"/>
  <c r="G30"/>
  <c r="G25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<sst xmlns="http://schemas.openxmlformats.org/spreadsheetml/2006/main" count="88" uniqueCount="56">
  <si>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</si>
  <si>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</si>
  <si>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</si>
  <si>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</si>
  <si>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</si>
  <si>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</si>
  <si>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</si>
  <si>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</si>
  <si>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</si>
  <si>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</si>
  <si>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</si>
  <si>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</si>
  <si>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</si>
  <si>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</si>
  <si>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</si>
  <si>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</si>
  <si>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</si>
  <si>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</si>
  <si>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</si>
  <si>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</si>
  <si>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</si>
  <si>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</si>
  <si>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</si>
  <si>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</si>
  <si>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</si>
  <si>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</si>
  <si>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</si>
  <si>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</si>
  <si>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</si>
  <si>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</si>
  <si>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</si>
  <si>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</si>
  <si>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</si>
  <si>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</si>
  <si>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</si>
  <si>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</si>
  <si>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</si>
  <si>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</si>
  <si>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</si>
  <si>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</si>
  <si>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</si>
  <si>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</si>
  <si>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Previous Total</t>
  </si>
  <si>
    <t>total TX fund transfer</t>
  </si>
  <si>
    <t>Bank Fees</t>
  </si>
  <si>
    <t>Chase epay</t>
  </si>
  <si>
    <t>Citi Card</t>
  </si>
  <si>
    <t>Bank fee</t>
  </si>
  <si>
    <t>John Hast</t>
  </si>
  <si>
    <t>Lowes</t>
  </si>
  <si>
    <t>lowes</t>
  </si>
  <si>
    <t>Home Dep</t>
  </si>
  <si>
    <t>j Remerez</t>
  </si>
  <si>
    <t>Johnson street note</t>
  </si>
  <si>
    <t>Fid Life</t>
  </si>
  <si>
    <t>Feb-12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</si>
</sst>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F2" sqref="F2:G2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55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40940</v>
      </c>
      <c r="C3" s="20"/>
      <c r="D3" s="20">
        <v>40948</v>
      </c>
      <c r="E3" s="20"/>
      <c r="F3" s="20"/>
      <c r="G3" s="20"/>
    </row>
    <row r="4" spans="1:7">
      <c r="A4" s="7" t="s">
        <v>2</v>
      </c>
      <c r="B4" s="21">
        <v>2294</v>
      </c>
      <c r="C4" s="21"/>
      <c r="D4" s="21">
        <v>750</v>
      </c>
      <c r="E4" s="21"/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 t="s">
        <v>50</v>
      </c>
      <c r="C7" s="8" t="s">
        <v>51</v>
      </c>
      <c r="D7" s="8" t="s">
        <v>50</v>
      </c>
      <c r="E7" s="8" t="s">
        <v>52</v>
      </c>
      <c r="F7" s="8" t="s">
        <v>50</v>
      </c>
      <c r="G7" s="8"/>
    </row>
    <row r="8" spans="1:7">
      <c r="A8" s="6" t="s">
        <v>5</v>
      </c>
      <c r="B8" s="8">
        <v>2825</v>
      </c>
      <c r="C8" s="8">
        <v>2826</v>
      </c>
      <c r="D8" s="8">
        <v>2823</v>
      </c>
      <c r="E8" s="8">
        <v>2824</v>
      </c>
      <c r="F8" s="8">
        <v>2827</v>
      </c>
      <c r="G8" s="9"/>
    </row>
    <row r="9" spans="1:7">
      <c r="A9" s="6" t="s">
        <v>2</v>
      </c>
      <c r="B9" s="9">
        <v>143.78</v>
      </c>
      <c r="C9" s="9">
        <v>93.84</v>
      </c>
      <c r="D9" s="9">
        <v>414.44</v>
      </c>
      <c r="E9" s="9">
        <v>150</v>
      </c>
      <c r="F9" s="9">
        <v>66.44</v>
      </c>
      <c r="G9" s="9"/>
    </row>
    <row r="10" spans="1:7">
      <c r="A10" s="2"/>
      <c r="F10" s="4" t="s">
        <v>35</v>
      </c>
      <c r="G10" s="9">
        <f>SUM(B9:G9)</f>
        <v>868.5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8"/>
      <c r="E13" s="8"/>
      <c r="F13" s="8"/>
      <c r="G13" s="8"/>
    </row>
    <row r="14" spans="1:7">
      <c r="A14" s="6" t="s">
        <v>2</v>
      </c>
      <c r="B14" s="9">
        <v>49.32</v>
      </c>
      <c r="C14" s="9">
        <v>49.32</v>
      </c>
      <c r="D14" s="9"/>
      <c r="E14" s="9"/>
      <c r="F14" s="9"/>
      <c r="G14" s="9"/>
    </row>
    <row r="15" spans="1:7">
      <c r="A15" s="2"/>
      <c r="F15" s="4" t="s">
        <v>35</v>
      </c>
      <c r="G15" s="9">
        <f>SUM(B14:G14)</f>
        <v>98.64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/>
      <c r="C19" s="9"/>
      <c r="D19" s="9"/>
      <c r="E19" s="9"/>
      <c r="F19" s="9"/>
      <c r="G19" s="9"/>
    </row>
    <row r="20" spans="1:7">
      <c r="A20" s="2"/>
      <c r="F20" s="4" t="s">
        <v>35</v>
      </c>
      <c r="G20" s="9">
        <f>SUM(B19:G19)</f>
        <v>0</v>
      </c>
    </row>
    <row r="21" spans="1:7">
      <c r="A21" s="10" t="s">
        <v>8</v>
      </c>
    </row>
    <row r="22" spans="1:7">
      <c r="A22" s="6" t="s">
        <v>4</v>
      </c>
      <c r="B22" s="8" t="s">
        <v>48</v>
      </c>
      <c r="C22" s="8" t="s">
        <v>49</v>
      </c>
      <c r="D22" s="8" t="s">
        <v>49</v>
      </c>
      <c r="E22" s="8"/>
      <c r="F22" s="8"/>
      <c r="G22" s="8"/>
    </row>
    <row r="23" spans="1:7">
      <c r="A23" s="6" t="s">
        <v>5</v>
      </c>
      <c r="B23" s="8">
        <v>2821</v>
      </c>
      <c r="C23" s="8">
        <v>2822</v>
      </c>
      <c r="D23" s="8">
        <v>2820</v>
      </c>
      <c r="E23" s="8"/>
      <c r="F23" s="8"/>
      <c r="G23" s="8"/>
    </row>
    <row r="24" spans="1:7">
      <c r="A24" s="6" t="s">
        <v>2</v>
      </c>
      <c r="B24" s="9">
        <v>139</v>
      </c>
      <c r="C24" s="9">
        <v>92.16</v>
      </c>
      <c r="D24" s="9">
        <v>233.25</v>
      </c>
      <c r="E24" s="9"/>
      <c r="F24" s="9"/>
      <c r="G24" s="9"/>
    </row>
    <row r="25" spans="1:7">
      <c r="A25" s="2"/>
      <c r="F25" s="4" t="s">
        <v>35</v>
      </c>
      <c r="G25" s="9">
        <f>SUM(B24:G24)</f>
        <v>464.40999999999997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44</v>
      </c>
      <c r="C28" s="8" t="s">
        <v>47</v>
      </c>
      <c r="D28" s="8" t="s">
        <v>54</v>
      </c>
      <c r="E28" s="8" t="s">
        <v>46</v>
      </c>
      <c r="F28" s="8" t="s">
        <v>46</v>
      </c>
      <c r="G28" s="8" t="s">
        <v>45</v>
      </c>
    </row>
    <row r="29" spans="1:7">
      <c r="A29" s="11" t="s">
        <v>2</v>
      </c>
      <c r="B29" s="9">
        <v>62</v>
      </c>
      <c r="C29" s="9">
        <v>15</v>
      </c>
      <c r="D29" s="9">
        <v>47.85</v>
      </c>
      <c r="E29" s="9">
        <v>63.69</v>
      </c>
      <c r="F29" s="9">
        <v>201.61</v>
      </c>
      <c r="G29" s="9">
        <v>255</v>
      </c>
    </row>
    <row r="30" spans="1:7">
      <c r="A30" s="2"/>
      <c r="F30" s="4" t="s">
        <v>35</v>
      </c>
      <c r="G30" s="9">
        <f>SUM(B29:G29)</f>
        <v>645.15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2819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150</v>
      </c>
      <c r="C34" s="9"/>
      <c r="D34" s="9"/>
      <c r="E34" s="9"/>
      <c r="F34" s="9"/>
      <c r="G34" s="9"/>
    </row>
    <row r="35" spans="1:7">
      <c r="A35" s="2"/>
      <c r="E35" s="23" t="s">
        <v>43</v>
      </c>
      <c r="F35" s="24"/>
      <c r="G35" s="9">
        <f>SUM(B34:G34)</f>
        <v>150</v>
      </c>
    </row>
    <row r="36" spans="1:7">
      <c r="A36" s="6" t="s">
        <v>9</v>
      </c>
      <c r="B36" s="16">
        <v>2294</v>
      </c>
      <c r="E36" s="15" t="s">
        <v>22</v>
      </c>
      <c r="F36" s="15"/>
      <c r="G36" s="16">
        <v>1500.87</v>
      </c>
    </row>
    <row r="37" spans="1:7">
      <c r="A37" s="6" t="s">
        <v>10</v>
      </c>
      <c r="B37" s="16">
        <f>SUM(G10+G15+G20+G25+G30)</f>
        <v>2076.6999999999998</v>
      </c>
      <c r="E37" s="15" t="s">
        <v>39</v>
      </c>
      <c r="F37" s="15"/>
      <c r="G37" s="16">
        <v>1094.98</v>
      </c>
    </row>
    <row r="38" spans="1:7">
      <c r="A38" s="6" t="s">
        <v>11</v>
      </c>
      <c r="B38" s="16">
        <f>SUM(B36-B37)</f>
        <v>217.30000000000018</v>
      </c>
      <c r="E38" s="15" t="s">
        <v>23</v>
      </c>
      <c r="F38" s="15"/>
      <c r="G38" s="16">
        <f>SUM(G35-G36-G37)</f>
        <v>-2445.85</v>
      </c>
    </row>
    <row r="39" spans="1:7">
      <c r="A39" s="6" t="s">
        <v>12</v>
      </c>
      <c r="B39" s="16">
        <v>1094.98</v>
      </c>
      <c r="E39" s="15" t="s">
        <v>24</v>
      </c>
      <c r="F39" s="15"/>
      <c r="G39" s="16">
        <v>0</v>
      </c>
    </row>
    <row r="40" spans="1:7">
      <c r="A40" s="6" t="s">
        <v>53</v>
      </c>
      <c r="B40" s="16">
        <v>1500.87</v>
      </c>
      <c r="E40" s="15" t="s">
        <v>25</v>
      </c>
      <c r="F40" s="15"/>
      <c r="G40" s="16">
        <v>750</v>
      </c>
    </row>
    <row r="41" spans="1:7">
      <c r="A41" s="6" t="s">
        <v>13</v>
      </c>
      <c r="B41" s="16">
        <f>SUM(B38-B39-B40)</f>
        <v>-2378.5499999999997</v>
      </c>
      <c r="E41" s="15" t="s">
        <v>26</v>
      </c>
      <c r="F41" s="15"/>
      <c r="G41" s="16"/>
    </row>
    <row r="42" spans="1:7">
      <c r="A42" s="6" t="s">
        <v>42</v>
      </c>
      <c r="B42" s="16">
        <v>139.13</v>
      </c>
      <c r="E42" s="15" t="s">
        <v>27</v>
      </c>
      <c r="F42" s="15"/>
      <c r="G42" s="16">
        <v>-3195.85</v>
      </c>
    </row>
    <row r="43" spans="1:7">
      <c r="A43" s="6" t="s">
        <v>14</v>
      </c>
      <c r="B43" s="16">
        <v>-2239.42</v>
      </c>
      <c r="E43" s="15" t="s">
        <v>29</v>
      </c>
      <c r="F43" s="15"/>
      <c r="G43" s="16">
        <v>2145</v>
      </c>
    </row>
    <row r="44" spans="1:7">
      <c r="A44" s="2"/>
      <c r="E44" s="15" t="s">
        <v>28</v>
      </c>
      <c r="F44" s="15"/>
      <c r="G44" s="1">
        <v>-1050.8499999999999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/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2013-12-08T20:48:13Z</cp:lastPrinted>
  <dcterms:created xsi:type="dcterms:W3CDTF">2013-12-08T18:16:41Z</dcterms:created>
  <dcterms:modified xsi:type="dcterms:W3CDTF">2013-12-08T20:52:27Z</dcterms:modified>
</cp:coreProperties>
</file>