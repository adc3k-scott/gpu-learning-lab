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41" i="1"/>
  <c r="C37"/>
  <c r="H36"/>
  <c r="H39" s="1"/>
  <c r="H26"/>
  <c r="H31"/>
  <c r="H16"/>
  <c r="H21"/>
  <c r="H11"/>
  <c r="C38" l="1"/>
  <c r="C39" s="1"/>
  <c r="C43" s="1"/>
</calcChain>
</file>

<file path=xl/sharedStrings.xml><?xml version="1.0" encoding="utf-8"?>
<sst xmlns="http://schemas.openxmlformats.org/spreadsheetml/2006/main" count="77" uniqueCount="45">
  <si>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</si>
  <si>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</si>
  <si>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</si>
  <si>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</si>
  <si>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</si>
  <si>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</si>
  <si>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</si>
  <si>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</si>
  <si>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</si>
  <si>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</si>
  <si>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</si>
  <si>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</si>
  <si>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</si>
  <si>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</si>
  <si>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</si>
  <si>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D.D.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</si>
  <si>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</si>
  <si>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</si>
  <si>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</si>
  <si>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</si>
  <si>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</si>
  <si>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</si>
  <si>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</si>
  <si>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</si>
  <si>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</si>
  <si>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</si>
  <si>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*Bank Note Paid by ADH Texas GCB</t>
  </si>
  <si>
    <t>4217-19 N Johnson Note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</si>
  <si>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</si>
  <si>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</si>
  <si>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</si>
  <si>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</si>
  <si>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</si>
  <si>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</si>
  <si>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Johnson Street Note</t>
  </si>
  <si>
    <t>Year to Date</t>
  </si>
  <si>
    <t>ADH TX Year to Date</t>
  </si>
  <si>
    <t>ADH TX Previous Total</t>
  </si>
  <si>
    <t>Fid Life Ins.</t>
  </si>
  <si>
    <t>lowes</t>
  </si>
  <si>
    <t>SWB</t>
  </si>
  <si>
    <t>G C B</t>
  </si>
  <si>
    <t>SFIC</t>
  </si>
  <si>
    <t>GCB DD</t>
  </si>
  <si>
    <t>GCB FEES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</si>
</sst>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4" fillId="0" borderId="1" xfId="1" applyFont="1" applyBorder="1" applyAlignment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4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2" fillId="0" borderId="0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K43" sqref="K43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7" width="10.7109375" customWidth="1"/>
    <col min="8" max="8" width="11.28515625" customWidth="1"/>
    <col min="9" max="9" width="10.7109375" customWidth="1"/>
  </cols>
  <sheetData>
    <row r="1" spans="1:10">
      <c r="H1" s="26">
        <v>41091</v>
      </c>
    </row>
    <row r="2" spans="1:10">
      <c r="A2" s="3"/>
      <c r="B2" s="40" t="s">
        <v>8</v>
      </c>
      <c r="C2" s="40"/>
      <c r="D2" s="40"/>
      <c r="E2" s="40"/>
      <c r="F2" s="40"/>
      <c r="G2" s="40"/>
    </row>
    <row r="3" spans="1:10">
      <c r="B3" s="5" t="s">
        <v>10</v>
      </c>
      <c r="C3" s="45" t="s">
        <v>9</v>
      </c>
      <c r="D3" s="46"/>
      <c r="E3" s="43" t="s">
        <v>17</v>
      </c>
      <c r="F3" s="44"/>
      <c r="G3" s="43" t="s">
        <v>22</v>
      </c>
      <c r="H3" s="44"/>
      <c r="I3" s="9"/>
    </row>
    <row r="4" spans="1:10">
      <c r="B4" s="5" t="s">
        <v>11</v>
      </c>
      <c r="C4" s="17">
        <v>41091</v>
      </c>
      <c r="D4" s="18"/>
      <c r="E4" s="18">
        <v>41109</v>
      </c>
      <c r="F4" s="18"/>
      <c r="G4" s="15"/>
      <c r="H4" s="16"/>
      <c r="I4" s="9"/>
    </row>
    <row r="5" spans="1:10">
      <c r="B5" s="5" t="s">
        <v>6</v>
      </c>
      <c r="C5" s="19">
        <v>5571</v>
      </c>
      <c r="D5" s="20"/>
      <c r="E5" s="20">
        <v>40</v>
      </c>
      <c r="F5" s="20"/>
      <c r="G5" s="20"/>
      <c r="H5" s="21"/>
      <c r="I5" s="2"/>
      <c r="J5" s="2"/>
    </row>
    <row r="6" spans="1:10">
      <c r="C6" s="2"/>
      <c r="G6" s="8"/>
      <c r="H6" s="35"/>
    </row>
    <row r="7" spans="1:10">
      <c r="B7" s="32" t="s">
        <v>0</v>
      </c>
      <c r="C7" s="49" t="s">
        <v>25</v>
      </c>
      <c r="D7" s="49"/>
      <c r="E7" s="49"/>
    </row>
    <row r="8" spans="1:10">
      <c r="B8" s="11" t="s">
        <v>12</v>
      </c>
      <c r="C8" s="20" t="s">
        <v>40</v>
      </c>
      <c r="D8" s="22"/>
      <c r="E8" s="22"/>
      <c r="F8" s="22"/>
      <c r="G8" s="22"/>
      <c r="H8" s="22"/>
    </row>
    <row r="9" spans="1:10">
      <c r="B9" s="11" t="s">
        <v>13</v>
      </c>
      <c r="C9" s="23">
        <v>2849</v>
      </c>
      <c r="D9" s="22"/>
      <c r="E9" s="22"/>
      <c r="F9" s="22"/>
      <c r="G9" s="22"/>
      <c r="H9" s="22"/>
    </row>
    <row r="10" spans="1:10">
      <c r="B10" s="11" t="s">
        <v>6</v>
      </c>
      <c r="C10" s="20">
        <v>250</v>
      </c>
      <c r="D10" s="20"/>
      <c r="E10" s="20"/>
      <c r="F10" s="20"/>
      <c r="G10" s="20"/>
      <c r="H10" s="20"/>
    </row>
    <row r="11" spans="1:10">
      <c r="B11" s="13"/>
      <c r="C11" s="2"/>
      <c r="D11" s="2"/>
      <c r="E11" s="2"/>
      <c r="F11" s="2"/>
      <c r="G11" s="29" t="s">
        <v>16</v>
      </c>
      <c r="H11" s="21">
        <f>SUM(C10:H10)</f>
        <v>250</v>
      </c>
    </row>
    <row r="12" spans="1:10">
      <c r="B12" s="1" t="s">
        <v>1</v>
      </c>
      <c r="C12" s="33" t="s">
        <v>26</v>
      </c>
      <c r="D12" s="33"/>
    </row>
    <row r="13" spans="1:10">
      <c r="B13" s="11" t="s">
        <v>12</v>
      </c>
      <c r="C13" s="22" t="s">
        <v>4</v>
      </c>
      <c r="D13" s="22" t="s">
        <v>4</v>
      </c>
      <c r="E13" s="22" t="s">
        <v>39</v>
      </c>
      <c r="F13" s="22" t="s">
        <v>40</v>
      </c>
      <c r="G13" s="22" t="s">
        <v>41</v>
      </c>
      <c r="H13" s="22" t="s">
        <v>42</v>
      </c>
    </row>
    <row r="14" spans="1:10">
      <c r="B14" s="11" t="s">
        <v>13</v>
      </c>
      <c r="C14" s="22" t="s">
        <v>7</v>
      </c>
      <c r="D14" s="22" t="s">
        <v>7</v>
      </c>
      <c r="E14" s="22">
        <v>2841</v>
      </c>
      <c r="F14" s="22">
        <v>2848</v>
      </c>
      <c r="G14" s="22">
        <v>2840</v>
      </c>
      <c r="H14" s="22">
        <v>2844</v>
      </c>
    </row>
    <row r="15" spans="1:10">
      <c r="B15" s="11" t="s">
        <v>6</v>
      </c>
      <c r="C15" s="20">
        <v>49.32</v>
      </c>
      <c r="D15" s="20">
        <v>49.32</v>
      </c>
      <c r="E15" s="20">
        <v>67</v>
      </c>
      <c r="F15" s="20">
        <v>205.34</v>
      </c>
      <c r="G15" s="20">
        <v>1125</v>
      </c>
      <c r="H15" s="20">
        <v>408</v>
      </c>
    </row>
    <row r="16" spans="1:10">
      <c r="B16" s="13"/>
      <c r="C16" s="2"/>
      <c r="D16" s="2"/>
      <c r="E16" s="2"/>
      <c r="F16" s="2"/>
      <c r="G16" s="29" t="s">
        <v>16</v>
      </c>
      <c r="H16" s="21">
        <f>SUM(C15:H15)</f>
        <v>1903.98</v>
      </c>
    </row>
    <row r="17" spans="2:10">
      <c r="B17" s="1" t="s">
        <v>2</v>
      </c>
      <c r="C17" s="2"/>
    </row>
    <row r="18" spans="2:10">
      <c r="B18" s="11" t="s">
        <v>12</v>
      </c>
      <c r="C18" s="20" t="s">
        <v>14</v>
      </c>
      <c r="D18" s="22" t="s">
        <v>40</v>
      </c>
      <c r="E18" s="22" t="s">
        <v>42</v>
      </c>
      <c r="F18" s="22"/>
      <c r="G18" s="22"/>
      <c r="H18" s="22"/>
    </row>
    <row r="19" spans="2:10">
      <c r="B19" s="11" t="s">
        <v>13</v>
      </c>
      <c r="C19" s="20" t="s">
        <v>7</v>
      </c>
      <c r="D19" s="22">
        <v>2846</v>
      </c>
      <c r="E19" s="22">
        <v>2845</v>
      </c>
      <c r="F19" s="22"/>
      <c r="G19" s="22"/>
      <c r="H19" s="22"/>
    </row>
    <row r="20" spans="2:10">
      <c r="B20" s="11" t="s">
        <v>6</v>
      </c>
      <c r="C20" s="20">
        <v>2222.85</v>
      </c>
      <c r="D20" s="20">
        <v>143.94</v>
      </c>
      <c r="E20" s="20">
        <v>408</v>
      </c>
      <c r="F20" s="20"/>
      <c r="G20" s="20"/>
      <c r="H20" s="20"/>
    </row>
    <row r="21" spans="2:10">
      <c r="B21" s="13"/>
      <c r="C21" s="2"/>
      <c r="D21" s="2"/>
      <c r="E21" s="2"/>
      <c r="F21" s="2"/>
      <c r="G21" s="29" t="s">
        <v>16</v>
      </c>
      <c r="H21" s="21">
        <f>SUM(C20:H20)</f>
        <v>2774.79</v>
      </c>
    </row>
    <row r="22" spans="2:10">
      <c r="B22" s="1" t="s">
        <v>3</v>
      </c>
      <c r="C22" s="2"/>
    </row>
    <row r="23" spans="2:10">
      <c r="B23" s="11" t="s">
        <v>12</v>
      </c>
      <c r="C23" s="20" t="s">
        <v>14</v>
      </c>
      <c r="D23" s="22" t="s">
        <v>40</v>
      </c>
      <c r="E23" s="22" t="s">
        <v>42</v>
      </c>
      <c r="F23" s="22"/>
      <c r="G23" s="22"/>
      <c r="H23" s="22"/>
    </row>
    <row r="24" spans="2:10">
      <c r="B24" s="11" t="s">
        <v>13</v>
      </c>
      <c r="C24" s="20" t="s">
        <v>7</v>
      </c>
      <c r="D24" s="22">
        <v>2847</v>
      </c>
      <c r="E24" s="22">
        <v>2843</v>
      </c>
      <c r="F24" s="22"/>
      <c r="G24" s="22"/>
      <c r="H24" s="22"/>
    </row>
    <row r="25" spans="2:10">
      <c r="B25" s="11" t="s">
        <v>6</v>
      </c>
      <c r="C25" s="20"/>
      <c r="D25" s="20">
        <v>43.35</v>
      </c>
      <c r="E25" s="20">
        <v>408</v>
      </c>
      <c r="F25" s="20"/>
      <c r="G25" s="20"/>
      <c r="H25" s="20"/>
    </row>
    <row r="26" spans="2:10">
      <c r="B26" s="13"/>
      <c r="C26" s="2"/>
      <c r="D26" s="2"/>
      <c r="E26" s="2"/>
      <c r="F26" s="2"/>
      <c r="G26" s="29" t="s">
        <v>16</v>
      </c>
      <c r="H26" s="21">
        <f>SUM(C25:H25)</f>
        <v>451.35</v>
      </c>
    </row>
    <row r="27" spans="2:10">
      <c r="B27" s="40" t="s">
        <v>20</v>
      </c>
      <c r="C27" s="40"/>
      <c r="D27" s="40"/>
      <c r="E27" s="40"/>
      <c r="F27" s="40"/>
      <c r="G27" s="40"/>
    </row>
    <row r="28" spans="2:10">
      <c r="B28" s="6" t="s">
        <v>5</v>
      </c>
      <c r="C28" s="30" t="s">
        <v>43</v>
      </c>
      <c r="D28" s="30"/>
      <c r="E28" s="30" t="s">
        <v>15</v>
      </c>
      <c r="F28" s="30"/>
      <c r="G28" s="30"/>
      <c r="H28" s="30"/>
    </row>
    <row r="29" spans="2:10">
      <c r="B29" s="7" t="s">
        <v>10</v>
      </c>
      <c r="C29" s="23" t="s">
        <v>44</v>
      </c>
      <c r="D29" s="23"/>
      <c r="E29" s="23" t="s">
        <v>38</v>
      </c>
      <c r="F29" s="24"/>
      <c r="G29" s="24"/>
      <c r="H29" s="24"/>
      <c r="I29" s="4"/>
      <c r="J29" s="4"/>
    </row>
    <row r="30" spans="2:10">
      <c r="B30" s="7" t="s">
        <v>6</v>
      </c>
      <c r="C30" s="20">
        <v>12</v>
      </c>
      <c r="D30" s="21"/>
      <c r="E30" s="21">
        <v>47.85</v>
      </c>
      <c r="F30" s="21"/>
      <c r="G30" s="21"/>
      <c r="H30" s="21"/>
      <c r="I30" s="2"/>
      <c r="J30" s="2"/>
    </row>
    <row r="31" spans="2:10">
      <c r="C31" s="2"/>
      <c r="G31" s="8" t="s">
        <v>16</v>
      </c>
      <c r="H31" s="21">
        <f>SUM(C30:H30)</f>
        <v>59.85</v>
      </c>
    </row>
    <row r="32" spans="2:10">
      <c r="B32" s="41" t="s">
        <v>21</v>
      </c>
      <c r="C32" s="42"/>
      <c r="D32" s="42"/>
      <c r="E32" s="42"/>
      <c r="F32" s="42"/>
      <c r="G32" s="42"/>
    </row>
    <row r="33" spans="2:8">
      <c r="B33" s="6" t="s">
        <v>5</v>
      </c>
      <c r="C33" s="30">
        <v>2839</v>
      </c>
      <c r="D33" s="12">
        <v>2850</v>
      </c>
      <c r="E33" s="12"/>
      <c r="F33" s="12"/>
      <c r="G33" s="12"/>
      <c r="H33" s="12"/>
    </row>
    <row r="34" spans="2:8">
      <c r="B34" s="7" t="s">
        <v>10</v>
      </c>
      <c r="C34" s="23" t="s">
        <v>17</v>
      </c>
      <c r="D34" s="23" t="s">
        <v>17</v>
      </c>
      <c r="E34" s="23"/>
      <c r="F34" s="24"/>
      <c r="G34" s="24"/>
      <c r="H34" s="24"/>
    </row>
    <row r="35" spans="2:8">
      <c r="B35" s="7" t="s">
        <v>6</v>
      </c>
      <c r="C35" s="20">
        <v>2225</v>
      </c>
      <c r="D35" s="21">
        <v>200</v>
      </c>
      <c r="E35" s="21"/>
      <c r="F35" s="21"/>
      <c r="G35" s="21"/>
      <c r="H35" s="21"/>
    </row>
    <row r="36" spans="2:8">
      <c r="B36" s="10"/>
      <c r="C36" s="28"/>
      <c r="D36" s="27"/>
      <c r="E36" s="27"/>
      <c r="F36" s="53" t="s">
        <v>33</v>
      </c>
      <c r="G36" s="54"/>
      <c r="H36" s="34">
        <f>SUM(C35:H35)</f>
        <v>2425</v>
      </c>
    </row>
    <row r="37" spans="2:8">
      <c r="B37" s="11" t="s">
        <v>19</v>
      </c>
      <c r="C37" s="25">
        <f>SUM(C5:C6)</f>
        <v>5571</v>
      </c>
      <c r="F37" s="50" t="s">
        <v>27</v>
      </c>
      <c r="G37" s="50"/>
      <c r="H37" s="21">
        <v>0</v>
      </c>
    </row>
    <row r="38" spans="2:8">
      <c r="B38" s="11" t="s">
        <v>18</v>
      </c>
      <c r="C38" s="25">
        <f>SUM(H11)+H16+H21+H26+H31</f>
        <v>5439.9700000000012</v>
      </c>
      <c r="F38" s="51" t="s">
        <v>28</v>
      </c>
      <c r="G38" s="51"/>
      <c r="H38" s="21">
        <v>1094.98</v>
      </c>
    </row>
    <row r="39" spans="2:8">
      <c r="B39" s="13" t="s">
        <v>24</v>
      </c>
      <c r="C39" s="36">
        <f>SUM(C37-C38)</f>
        <v>131.02999999999884</v>
      </c>
      <c r="F39" s="52" t="s">
        <v>29</v>
      </c>
      <c r="G39" s="52"/>
      <c r="H39" s="25">
        <f>SUM(H36)-H37-H38</f>
        <v>1330.02</v>
      </c>
    </row>
    <row r="40" spans="2:8">
      <c r="B40" s="11" t="s">
        <v>34</v>
      </c>
      <c r="C40" s="25">
        <v>0</v>
      </c>
    </row>
    <row r="41" spans="2:8">
      <c r="B41" s="11" t="s">
        <v>28</v>
      </c>
      <c r="C41" s="21">
        <v>1094.98</v>
      </c>
      <c r="D41" s="37"/>
      <c r="F41" s="51" t="s">
        <v>30</v>
      </c>
      <c r="G41" s="51"/>
      <c r="H41" s="25">
        <f>SUM(E5:F5)</f>
        <v>40</v>
      </c>
    </row>
    <row r="42" spans="2:8">
      <c r="B42" s="38"/>
      <c r="C42" s="27"/>
      <c r="F42" s="55"/>
      <c r="G42" s="55"/>
      <c r="H42" s="39"/>
    </row>
    <row r="43" spans="2:8">
      <c r="B43" s="14" t="s">
        <v>31</v>
      </c>
      <c r="C43" s="25">
        <f>SUM(C39)-C40-C41</f>
        <v>-963.95000000000118</v>
      </c>
      <c r="F43" s="51" t="s">
        <v>32</v>
      </c>
      <c r="G43" s="51"/>
      <c r="H43" s="21">
        <v>1290.02</v>
      </c>
    </row>
    <row r="44" spans="2:8">
      <c r="B44" s="38"/>
      <c r="C44" s="27"/>
      <c r="D44" s="37"/>
    </row>
    <row r="45" spans="2:8">
      <c r="B45" s="14" t="s">
        <v>23</v>
      </c>
      <c r="C45" s="21">
        <v>-1272.77</v>
      </c>
      <c r="F45" s="47" t="s">
        <v>37</v>
      </c>
      <c r="G45" s="48"/>
      <c r="H45" s="31">
        <v>1586.73</v>
      </c>
    </row>
    <row r="47" spans="2:8">
      <c r="B47" s="11" t="s">
        <v>35</v>
      </c>
      <c r="C47" s="21">
        <v>-2236.7199999999998</v>
      </c>
      <c r="F47" s="47" t="s">
        <v>36</v>
      </c>
      <c r="G47" s="48"/>
      <c r="H47" s="21">
        <v>2876.85</v>
      </c>
    </row>
  </sheetData>
  <mergeCells count="16">
    <mergeCell ref="F47:G47"/>
    <mergeCell ref="C7:E7"/>
    <mergeCell ref="F37:G37"/>
    <mergeCell ref="F38:G38"/>
    <mergeCell ref="F39:G39"/>
    <mergeCell ref="F36:G36"/>
    <mergeCell ref="F43:G43"/>
    <mergeCell ref="F45:G45"/>
    <mergeCell ref="F41:G41"/>
    <mergeCell ref="F42:G42"/>
    <mergeCell ref="B2:G2"/>
    <mergeCell ref="B27:G27"/>
    <mergeCell ref="B32:G32"/>
    <mergeCell ref="E3:F3"/>
    <mergeCell ref="G3:H3"/>
    <mergeCell ref="C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2012-11-11T17:25:58Z</cp:lastPrinted>
  <dcterms:created xsi:type="dcterms:W3CDTF">2012-11-08T14:39:58Z</dcterms:created>
  <dcterms:modified xsi:type="dcterms:W3CDTF">2012-11-11T17:26:38Z</dcterms:modified>
</cp:coreProperties>
</file>