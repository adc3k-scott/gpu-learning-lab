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<sst xmlns="http://schemas.openxmlformats.org/spreadsheetml/2006/main" count="74" uniqueCount="43">
  <si>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</si>
  <si>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</si>
  <si>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</si>
  <si>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</si>
  <si>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</si>
  <si>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</si>
  <si>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</si>
  <si>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</si>
  <si>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</si>
  <si>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</si>
  <si>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</si>
  <si>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</si>
  <si>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</si>
  <si>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</si>
  <si>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</si>
  <si>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</si>
  <si>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</si>
  <si>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</si>
  <si>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</si>
  <si>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</si>
  <si>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</si>
  <si>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</si>
  <si>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</si>
  <si>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</si>
  <si>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</si>
  <si>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</si>
  <si>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4217-19 N Johnson Note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</si>
  <si>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</si>
  <si>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</si>
  <si>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</si>
  <si>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</si>
  <si>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</si>
  <si>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</si>
  <si>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</si>
  <si>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</si>
  <si>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</si>
  <si>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</si>
  <si>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</si>
  <si>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SWB</t>
  </si>
  <si>
    <t>DD</t>
  </si>
  <si>
    <t>CHASE EPAY</t>
  </si>
  <si>
    <t>GCB DD</t>
  </si>
  <si>
    <t>BANK FEE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</si>
</sst>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G14" sqref="G1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41122</v>
      </c>
    </row>
    <row r="2" spans="1:10">
      <c r="A2" s="3"/>
      <c r="B2" s="40" t="s">
        <v>8</v>
      </c>
      <c r="C2" s="40"/>
      <c r="D2" s="40"/>
      <c r="E2" s="40"/>
      <c r="F2" s="40"/>
      <c r="G2" s="40"/>
    </row>
    <row r="3" spans="1:10">
      <c r="B3" s="5" t="s">
        <v>10</v>
      </c>
      <c r="C3" s="45" t="s">
        <v>9</v>
      </c>
      <c r="D3" s="46"/>
      <c r="E3" s="43" t="s">
        <v>17</v>
      </c>
      <c r="F3" s="44"/>
      <c r="G3" s="43" t="s">
        <v>22</v>
      </c>
      <c r="H3" s="44"/>
      <c r="I3" s="9"/>
    </row>
    <row r="4" spans="1:10">
      <c r="B4" s="5" t="s">
        <v>11</v>
      </c>
      <c r="C4" s="17">
        <v>41122</v>
      </c>
      <c r="D4" s="18"/>
      <c r="E4" s="18"/>
      <c r="F4" s="18"/>
      <c r="G4" s="15"/>
      <c r="H4" s="16"/>
      <c r="I4" s="9"/>
    </row>
    <row r="5" spans="1:10">
      <c r="B5" s="5" t="s">
        <v>6</v>
      </c>
      <c r="C5" s="19">
        <v>5571</v>
      </c>
      <c r="D5" s="20"/>
      <c r="E5" s="20"/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9" t="s">
        <v>25</v>
      </c>
      <c r="D7" s="49"/>
      <c r="E7" s="49"/>
    </row>
    <row r="8" spans="1:10">
      <c r="B8" s="11" t="s">
        <v>12</v>
      </c>
      <c r="C8" s="20" t="s">
        <v>38</v>
      </c>
      <c r="D8" s="22"/>
      <c r="E8" s="22"/>
      <c r="F8" s="22"/>
      <c r="G8" s="22"/>
      <c r="H8" s="22"/>
    </row>
    <row r="9" spans="1:10">
      <c r="B9" s="11" t="s">
        <v>13</v>
      </c>
      <c r="C9" s="23">
        <v>2853</v>
      </c>
      <c r="D9" s="22"/>
      <c r="E9" s="22"/>
      <c r="F9" s="22"/>
      <c r="G9" s="22"/>
      <c r="H9" s="22"/>
    </row>
    <row r="10" spans="1:10">
      <c r="B10" s="11" t="s">
        <v>6</v>
      </c>
      <c r="C10" s="20">
        <v>418.33</v>
      </c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418.33</v>
      </c>
    </row>
    <row r="12" spans="1:10">
      <c r="B12" s="1" t="s">
        <v>1</v>
      </c>
      <c r="C12" s="33"/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 t="s">
        <v>38</v>
      </c>
      <c r="G13" s="22" t="s">
        <v>14</v>
      </c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>
        <v>2856</v>
      </c>
      <c r="G14" s="22">
        <v>2852</v>
      </c>
      <c r="H14" s="22"/>
    </row>
    <row r="15" spans="1:10">
      <c r="B15" s="11" t="s">
        <v>6</v>
      </c>
      <c r="C15" s="20">
        <v>52.11</v>
      </c>
      <c r="D15" s="20">
        <v>52.11</v>
      </c>
      <c r="E15" s="20"/>
      <c r="F15" s="20">
        <v>196.97</v>
      </c>
      <c r="G15" s="20">
        <v>1125</v>
      </c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1426.19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 t="s">
        <v>38</v>
      </c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>
        <v>2854</v>
      </c>
      <c r="E19" s="22"/>
      <c r="F19" s="22"/>
      <c r="G19" s="22"/>
      <c r="H19" s="22"/>
    </row>
    <row r="20" spans="2:10">
      <c r="B20" s="11" t="s">
        <v>6</v>
      </c>
      <c r="C20" s="20">
        <v>2222.85</v>
      </c>
      <c r="D20" s="20">
        <v>210.89</v>
      </c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2433.7399999999998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 t="s">
        <v>38</v>
      </c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>
        <v>2855</v>
      </c>
      <c r="E24" s="22"/>
      <c r="F24" s="22"/>
      <c r="G24" s="22"/>
      <c r="H24" s="22"/>
    </row>
    <row r="25" spans="2:10">
      <c r="B25" s="11" t="s">
        <v>6</v>
      </c>
      <c r="C25" s="20"/>
      <c r="D25" s="20">
        <v>43.35</v>
      </c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43.35</v>
      </c>
    </row>
    <row r="27" spans="2:10">
      <c r="B27" s="40" t="s">
        <v>20</v>
      </c>
      <c r="C27" s="40"/>
      <c r="D27" s="40"/>
      <c r="E27" s="40"/>
      <c r="F27" s="40"/>
      <c r="G27" s="40"/>
    </row>
    <row r="28" spans="2:10">
      <c r="B28" s="6" t="s">
        <v>5</v>
      </c>
      <c r="C28" s="30" t="s">
        <v>41</v>
      </c>
      <c r="D28" s="30" t="s">
        <v>39</v>
      </c>
      <c r="E28" s="30" t="s">
        <v>15</v>
      </c>
      <c r="F28" s="30"/>
      <c r="G28" s="30"/>
      <c r="H28" s="30"/>
    </row>
    <row r="29" spans="2:10">
      <c r="B29" s="7" t="s">
        <v>10</v>
      </c>
      <c r="C29" s="23" t="s">
        <v>42</v>
      </c>
      <c r="D29" s="23" t="s">
        <v>40</v>
      </c>
      <c r="E29" s="23" t="s">
        <v>37</v>
      </c>
      <c r="F29" s="24"/>
      <c r="G29" s="24"/>
      <c r="H29" s="24"/>
      <c r="I29" s="4"/>
      <c r="J29" s="4"/>
    </row>
    <row r="30" spans="2:10">
      <c r="B30" s="7" t="s">
        <v>6</v>
      </c>
      <c r="C30" s="20">
        <v>12</v>
      </c>
      <c r="D30" s="21">
        <v>360</v>
      </c>
      <c r="E30" s="21">
        <v>47.85</v>
      </c>
      <c r="F30" s="21"/>
      <c r="G30" s="21"/>
      <c r="H30" s="21"/>
      <c r="I30" s="2"/>
      <c r="J30" s="2"/>
    </row>
    <row r="31" spans="2:10">
      <c r="C31" s="2"/>
      <c r="G31" s="8" t="s">
        <v>16</v>
      </c>
      <c r="H31" s="21">
        <f>SUM(C30:H30)</f>
        <v>419.85</v>
      </c>
    </row>
    <row r="32" spans="2:10">
      <c r="B32" s="41" t="s">
        <v>21</v>
      </c>
      <c r="C32" s="42"/>
      <c r="D32" s="42"/>
      <c r="E32" s="42"/>
      <c r="F32" s="42"/>
      <c r="G32" s="42"/>
    </row>
    <row r="33" spans="2:8">
      <c r="B33" s="6" t="s">
        <v>5</v>
      </c>
      <c r="C33" s="30"/>
      <c r="D33" s="12">
        <v>2857</v>
      </c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3" t="s">
        <v>17</v>
      </c>
      <c r="E34" s="23"/>
      <c r="F34" s="24"/>
      <c r="G34" s="24"/>
      <c r="H34" s="24"/>
    </row>
    <row r="35" spans="2:8">
      <c r="B35" s="7" t="s">
        <v>6</v>
      </c>
      <c r="C35" s="20">
        <v>0</v>
      </c>
      <c r="D35" s="21">
        <v>750</v>
      </c>
      <c r="E35" s="21"/>
      <c r="F35" s="21"/>
      <c r="G35" s="21"/>
      <c r="H35" s="21"/>
    </row>
    <row r="36" spans="2:8">
      <c r="B36" s="10"/>
      <c r="C36" s="28"/>
      <c r="D36" s="27"/>
      <c r="E36" s="27"/>
      <c r="F36" s="53" t="s">
        <v>32</v>
      </c>
      <c r="G36" s="54"/>
      <c r="H36" s="34">
        <f>SUM(C35:H35)</f>
        <v>750</v>
      </c>
    </row>
    <row r="37" spans="2:8">
      <c r="B37" s="11" t="s">
        <v>19</v>
      </c>
      <c r="C37" s="25">
        <f>SUM(C5:C6)</f>
        <v>5571</v>
      </c>
      <c r="F37" s="50" t="s">
        <v>26</v>
      </c>
      <c r="G37" s="50"/>
      <c r="H37" s="21">
        <v>1500.87</v>
      </c>
    </row>
    <row r="38" spans="2:8">
      <c r="B38" s="11" t="s">
        <v>18</v>
      </c>
      <c r="C38" s="25">
        <f>SUM(H11)+H16+H21+H26+H31</f>
        <v>4741.4600000000009</v>
      </c>
      <c r="F38" s="51" t="s">
        <v>27</v>
      </c>
      <c r="G38" s="51"/>
      <c r="H38" s="21"/>
    </row>
    <row r="39" spans="2:8">
      <c r="B39" s="13" t="s">
        <v>24</v>
      </c>
      <c r="C39" s="36">
        <f>SUM(C37-C38)</f>
        <v>829.53999999999905</v>
      </c>
      <c r="F39" s="52" t="s">
        <v>28</v>
      </c>
      <c r="G39" s="52"/>
      <c r="H39" s="25">
        <f>SUM(H36)-H37-H38</f>
        <v>-750.86999999999989</v>
      </c>
    </row>
    <row r="40" spans="2:8">
      <c r="B40" s="11" t="s">
        <v>33</v>
      </c>
      <c r="C40" s="25">
        <v>1500.87</v>
      </c>
    </row>
    <row r="41" spans="2:8">
      <c r="B41" s="11" t="s">
        <v>27</v>
      </c>
      <c r="C41" s="21"/>
      <c r="D41" s="37"/>
      <c r="F41" s="51" t="s">
        <v>29</v>
      </c>
      <c r="G41" s="51"/>
      <c r="H41" s="25">
        <f>SUM(E5:F5)</f>
        <v>0</v>
      </c>
    </row>
    <row r="42" spans="2:8">
      <c r="B42" s="38"/>
      <c r="C42" s="27"/>
      <c r="F42" s="55"/>
      <c r="G42" s="55"/>
      <c r="H42" s="39"/>
    </row>
    <row r="43" spans="2:8">
      <c r="B43" s="14" t="s">
        <v>30</v>
      </c>
      <c r="C43" s="25">
        <f>SUM(C39)-C40-C41</f>
        <v>-671.33000000000084</v>
      </c>
      <c r="F43" s="51" t="s">
        <v>31</v>
      </c>
      <c r="G43" s="51"/>
      <c r="H43" s="21">
        <v>-750.87</v>
      </c>
    </row>
    <row r="44" spans="2:8">
      <c r="B44" s="38"/>
      <c r="C44" s="27"/>
      <c r="D44" s="37"/>
    </row>
    <row r="45" spans="2:8">
      <c r="B45" s="14" t="s">
        <v>23</v>
      </c>
      <c r="C45" s="21">
        <v>-2236.7199999999998</v>
      </c>
      <c r="F45" s="47" t="s">
        <v>36</v>
      </c>
      <c r="G45" s="48"/>
      <c r="H45" s="31">
        <v>2876.85</v>
      </c>
    </row>
    <row r="47" spans="2:8">
      <c r="B47" s="11" t="s">
        <v>34</v>
      </c>
      <c r="C47" s="21">
        <v>-2908.05</v>
      </c>
      <c r="F47" s="47" t="s">
        <v>35</v>
      </c>
      <c r="G47" s="48"/>
      <c r="H47" s="21">
        <v>2125.98</v>
      </c>
    </row>
  </sheetData>
  <mergeCells count="16"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  <mergeCell ref="B2:G2"/>
    <mergeCell ref="B27:G27"/>
    <mergeCell ref="B32:G32"/>
    <mergeCell ref="E3:F3"/>
    <mergeCell ref="G3:H3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2012-11-11T17:09:18Z</cp:lastPrinted>
  <dcterms:created xsi:type="dcterms:W3CDTF">2012-11-08T14:39:58Z</dcterms:created>
  <dcterms:modified xsi:type="dcterms:W3CDTF">2012-11-11T17:33:17Z</dcterms:modified>
</cp:coreProperties>
</file>