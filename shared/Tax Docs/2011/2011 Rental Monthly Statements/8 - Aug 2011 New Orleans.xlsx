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<sst xmlns="http://schemas.openxmlformats.org/spreadsheetml/2006/main" count="77" uniqueCount="51">
  <si>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</si>
  <si>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</si>
  <si>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</si>
  <si>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</si>
  <si>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</si>
  <si>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</si>
  <si>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</si>
  <si>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</si>
  <si>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</si>
  <si>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</si>
  <si>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</si>
  <si>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</si>
  <si>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</si>
  <si>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</si>
  <si>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</si>
  <si>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</si>
  <si>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</si>
  <si>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</si>
  <si>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</si>
  <si>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</si>
  <si>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</si>
  <si>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</si>
  <si>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</si>
  <si>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</si>
  <si>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</si>
  <si>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</si>
  <si>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</si>
  <si>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</si>
  <si>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</si>
  <si>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</si>
  <si>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</si>
  <si>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</si>
  <si>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</si>
  <si>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</si>
  <si>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</si>
  <si>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</si>
  <si>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</si>
  <si>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</si>
  <si>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</si>
  <si>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</si>
  <si>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</si>
  <si>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 xml:space="preserve">  </t>
  </si>
  <si>
    <t>ADC Louisiana</t>
  </si>
  <si>
    <t>BANK FEEX3</t>
  </si>
  <si>
    <t>Minus Scott Tomsu</t>
  </si>
  <si>
    <t>S Tomsu year to date</t>
  </si>
  <si>
    <t>DD</t>
  </si>
  <si>
    <t>ADC Deposit</t>
  </si>
  <si>
    <t>Barclay CC</t>
  </si>
  <si>
    <t>***SWB</t>
  </si>
  <si>
    <t>***ADC 8002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</si>
</sst>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selection activeCell="C10" sqref="C10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47" t="s">
        <v>8</v>
      </c>
      <c r="C1" s="47"/>
      <c r="D1" s="47"/>
      <c r="E1" s="47"/>
      <c r="F1" s="47"/>
      <c r="G1" s="47"/>
      <c r="H1" s="25">
        <v>40756</v>
      </c>
    </row>
    <row r="2" spans="1:10">
      <c r="B2" s="5" t="s">
        <v>10</v>
      </c>
      <c r="C2" s="52" t="s">
        <v>9</v>
      </c>
      <c r="D2" s="53"/>
      <c r="E2" s="50" t="s">
        <v>16</v>
      </c>
      <c r="F2" s="51"/>
      <c r="G2" s="50" t="s">
        <v>42</v>
      </c>
      <c r="H2" s="51"/>
      <c r="I2" s="9"/>
    </row>
    <row r="3" spans="1:10">
      <c r="B3" s="5" t="s">
        <v>11</v>
      </c>
      <c r="C3" s="16">
        <v>40756</v>
      </c>
      <c r="D3" s="17"/>
      <c r="E3" s="17"/>
      <c r="F3" s="17"/>
      <c r="G3" s="17"/>
      <c r="H3" s="15"/>
      <c r="I3" s="9"/>
    </row>
    <row r="4" spans="1:10">
      <c r="B4" s="5" t="s">
        <v>6</v>
      </c>
      <c r="C4" s="18">
        <v>6974</v>
      </c>
      <c r="D4" s="19"/>
      <c r="E4" s="19"/>
      <c r="F4" s="19"/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4" t="s">
        <v>37</v>
      </c>
      <c r="D6" s="54"/>
      <c r="E6" s="54"/>
    </row>
    <row r="7" spans="1:10">
      <c r="B7" s="11" t="s">
        <v>12</v>
      </c>
      <c r="C7" s="39" t="s">
        <v>49</v>
      </c>
      <c r="D7" s="39"/>
      <c r="E7" s="39"/>
      <c r="F7" s="21"/>
      <c r="G7" s="21"/>
      <c r="H7" s="21"/>
    </row>
    <row r="8" spans="1:10">
      <c r="B8" s="11" t="s">
        <v>13</v>
      </c>
      <c r="C8" s="39" t="s">
        <v>50</v>
      </c>
      <c r="D8" s="39"/>
      <c r="E8" s="39"/>
      <c r="F8" s="21"/>
      <c r="G8" s="21"/>
      <c r="H8" s="21"/>
    </row>
    <row r="9" spans="1:10">
      <c r="B9" s="11" t="s">
        <v>6</v>
      </c>
      <c r="C9" s="40">
        <v>125.77</v>
      </c>
      <c r="D9" s="40"/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125.77</v>
      </c>
    </row>
    <row r="11" spans="1:10">
      <c r="B11" s="1" t="s">
        <v>1</v>
      </c>
      <c r="C11" s="54" t="s">
        <v>23</v>
      </c>
      <c r="D11" s="54"/>
      <c r="E11" s="54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/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/>
      <c r="E18" s="21"/>
      <c r="F18" s="21"/>
      <c r="G18" s="21"/>
      <c r="H18" s="21"/>
    </row>
    <row r="19" spans="2:10">
      <c r="B19" s="11" t="s">
        <v>6</v>
      </c>
      <c r="C19" s="19">
        <v>2260.5</v>
      </c>
      <c r="D19" s="19"/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2260.5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/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0</v>
      </c>
    </row>
    <row r="26" spans="2:10">
      <c r="B26" s="47" t="s">
        <v>19</v>
      </c>
      <c r="C26" s="47"/>
      <c r="D26" s="47"/>
      <c r="E26" s="47"/>
      <c r="F26" s="47"/>
      <c r="G26" s="47"/>
    </row>
    <row r="27" spans="2:10">
      <c r="B27" s="6" t="s">
        <v>5</v>
      </c>
      <c r="C27" s="29" t="s">
        <v>33</v>
      </c>
      <c r="D27" s="29" t="s">
        <v>46</v>
      </c>
      <c r="E27" s="29"/>
      <c r="F27" s="29"/>
      <c r="G27" s="29"/>
      <c r="H27" s="29"/>
    </row>
    <row r="28" spans="2:10">
      <c r="B28" s="7" t="s">
        <v>10</v>
      </c>
      <c r="C28" s="22" t="s">
        <v>43</v>
      </c>
      <c r="D28" s="22" t="s">
        <v>48</v>
      </c>
      <c r="E28" s="22"/>
      <c r="F28" s="23"/>
      <c r="G28" s="23"/>
      <c r="H28" s="23"/>
      <c r="I28" s="4"/>
      <c r="J28" s="4"/>
    </row>
    <row r="29" spans="2:10">
      <c r="B29" s="7" t="s">
        <v>6</v>
      </c>
      <c r="C29" s="19">
        <v>62</v>
      </c>
      <c r="D29" s="20">
        <v>67.33</v>
      </c>
      <c r="E29" s="20"/>
      <c r="F29" s="20"/>
      <c r="G29" s="20"/>
      <c r="H29" s="20"/>
      <c r="I29" s="2"/>
      <c r="J29" s="2"/>
    </row>
    <row r="30" spans="2:10">
      <c r="C30" s="2"/>
      <c r="G30" s="8" t="s">
        <v>41</v>
      </c>
      <c r="H30" s="20">
        <f>SUM(C29:H29)</f>
        <v>129.32999999999998</v>
      </c>
    </row>
    <row r="31" spans="2:10">
      <c r="B31" s="48" t="s">
        <v>20</v>
      </c>
      <c r="C31" s="49"/>
      <c r="D31" s="49"/>
      <c r="E31" s="49"/>
      <c r="F31" s="49"/>
      <c r="G31" s="49"/>
    </row>
    <row r="32" spans="2:10">
      <c r="B32" s="6" t="s">
        <v>5</v>
      </c>
      <c r="C32" s="29">
        <v>2801</v>
      </c>
      <c r="D32" s="12"/>
      <c r="E32" s="12"/>
      <c r="F32" s="12"/>
      <c r="G32" s="12"/>
      <c r="H32" s="12"/>
    </row>
    <row r="33" spans="2:8">
      <c r="B33" s="7" t="s">
        <v>10</v>
      </c>
      <c r="C33" s="22" t="s">
        <v>16</v>
      </c>
      <c r="D33" s="22"/>
      <c r="E33" s="22"/>
      <c r="F33" s="23"/>
      <c r="G33" s="23"/>
      <c r="H33" s="23"/>
    </row>
    <row r="34" spans="2:8">
      <c r="B34" s="7" t="s">
        <v>6</v>
      </c>
      <c r="C34" s="19">
        <v>4200</v>
      </c>
      <c r="D34" s="20">
        <v>0</v>
      </c>
      <c r="E34" s="20">
        <v>0</v>
      </c>
      <c r="F34" s="20"/>
      <c r="G34" s="20"/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4200</v>
      </c>
    </row>
    <row r="36" spans="2:8">
      <c r="B36" s="11" t="s">
        <v>18</v>
      </c>
      <c r="C36" s="24">
        <f>SUM(C4:D4)</f>
        <v>6974</v>
      </c>
      <c r="F36" s="57" t="s">
        <v>24</v>
      </c>
      <c r="G36" s="57"/>
      <c r="H36" s="32">
        <v>1094.98</v>
      </c>
    </row>
    <row r="37" spans="2:8">
      <c r="B37" s="11" t="s">
        <v>17</v>
      </c>
      <c r="C37" s="24">
        <f>SUM(H10)+H15+H20+H25+H30</f>
        <v>2614.2399999999998</v>
      </c>
      <c r="F37" s="58" t="s">
        <v>25</v>
      </c>
      <c r="G37" s="58"/>
      <c r="H37" s="24">
        <f>SUM(H35)-H36</f>
        <v>3105.02</v>
      </c>
    </row>
    <row r="38" spans="2:8">
      <c r="B38" s="13" t="s">
        <v>22</v>
      </c>
      <c r="C38" s="34">
        <f>SUM(C36-C37)</f>
        <v>4359.76</v>
      </c>
      <c r="F38" s="57" t="s">
        <v>44</v>
      </c>
      <c r="G38" s="57"/>
      <c r="H38" s="24">
        <v>1000</v>
      </c>
    </row>
    <row r="39" spans="2:8">
      <c r="B39" s="11" t="s">
        <v>24</v>
      </c>
      <c r="C39" s="20">
        <v>1094.98</v>
      </c>
      <c r="D39" s="35"/>
      <c r="F39" s="57" t="s">
        <v>26</v>
      </c>
      <c r="G39" s="57"/>
      <c r="H39" s="24">
        <f>SUM(E4:F4)</f>
        <v>0</v>
      </c>
    </row>
    <row r="40" spans="2:8">
      <c r="B40" s="14" t="s">
        <v>34</v>
      </c>
      <c r="C40" s="20">
        <v>1200.83</v>
      </c>
      <c r="F40" s="57" t="s">
        <v>47</v>
      </c>
      <c r="G40" s="57"/>
      <c r="H40" s="43">
        <v>0</v>
      </c>
    </row>
    <row r="41" spans="2:8">
      <c r="B41" s="36" t="s">
        <v>27</v>
      </c>
      <c r="C41" s="37">
        <f>SUM(C38)-C39-C40</f>
        <v>2063.9500000000003</v>
      </c>
      <c r="F41" s="57" t="s">
        <v>28</v>
      </c>
      <c r="G41" s="57"/>
      <c r="H41" s="20">
        <v>2105.02</v>
      </c>
    </row>
    <row r="42" spans="2:8">
      <c r="B42" s="14" t="s">
        <v>21</v>
      </c>
      <c r="C42" s="20">
        <v>4518.57</v>
      </c>
      <c r="F42" s="55" t="s">
        <v>32</v>
      </c>
      <c r="G42" s="56"/>
      <c r="H42" s="30">
        <v>25343.41</v>
      </c>
    </row>
    <row r="43" spans="2:8">
      <c r="B43" s="11" t="s">
        <v>30</v>
      </c>
      <c r="C43" s="20">
        <v>0</v>
      </c>
      <c r="F43" s="55" t="s">
        <v>31</v>
      </c>
      <c r="G43" s="56"/>
      <c r="H43" s="20">
        <v>27448.43</v>
      </c>
    </row>
    <row r="45" spans="2:8">
      <c r="D45" s="38" t="s">
        <v>39</v>
      </c>
      <c r="E45" s="20">
        <v>0</v>
      </c>
      <c r="F45" s="44" t="s">
        <v>35</v>
      </c>
      <c r="G45" s="46"/>
      <c r="H45" s="20">
        <v>-1326.6</v>
      </c>
    </row>
    <row r="46" spans="2:8">
      <c r="D46" s="38" t="s">
        <v>40</v>
      </c>
      <c r="E46" s="20">
        <v>1326.6</v>
      </c>
      <c r="F46" s="44" t="s">
        <v>38</v>
      </c>
      <c r="G46" s="46"/>
      <c r="H46" s="20">
        <v>-11541.91</v>
      </c>
    </row>
    <row r="47" spans="2:8">
      <c r="B47" s="41" t="s">
        <v>45</v>
      </c>
      <c r="C47" s="42">
        <v>2800</v>
      </c>
      <c r="F47" s="44" t="s">
        <v>36</v>
      </c>
      <c r="G47" s="45"/>
      <c r="H47" s="20">
        <v>-12868.51</v>
      </c>
    </row>
    <row r="48" spans="2:8">
      <c r="C48" t="s">
        <v>41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2012-11-17T16:24:24Z</cp:lastPrinted>
  <dcterms:created xsi:type="dcterms:W3CDTF">2012-11-08T14:39:58Z</dcterms:created>
  <dcterms:modified xsi:type="dcterms:W3CDTF">2012-11-17T16:25:39Z</dcterms:modified>
</cp:coreProperties>
</file>