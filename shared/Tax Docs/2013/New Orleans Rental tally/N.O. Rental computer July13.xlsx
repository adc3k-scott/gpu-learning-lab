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G25" i="1"/>
  <c r="G35"/>
  <c r="G38" s="1"/>
  <c r="G30"/>
  <c r="G10"/>
  <c r="G20"/>
  <c r="G15"/>
  <c r="B37" l="1"/>
  <c r="B38" s="1"/>
  <c r="B41" s="1"/>
</calcChain>
</file>

<file path=xl/sharedStrings.xml><?xml version="1.0" encoding="utf-8"?>
<sst xmlns="http://schemas.openxmlformats.org/spreadsheetml/2006/main" count="81" uniqueCount="53">
  <si>
    <t>Description</t>
  </si>
  <si>
    <t>Date</t>
  </si>
  <si>
    <t>Amount</t>
  </si>
  <si>
    <t>4217-19 N. Johnson</t>
  </si>
  <si>
    <t>Expense Description</t>
  </si>
  <si>
    <t>Check#</t>
  </si>
  <si>
    <t>4020 A-B Claiborne</t>
  </si>
  <si>
    <t>1508-10 Clouet</t>
  </si>
  <si>
    <t>1512-14 Clouet</t>
  </si>
  <si>
    <t>HANO Deposits</t>
  </si>
  <si>
    <t>Property Deductions</t>
  </si>
  <si>
    <t>Total</t>
  </si>
  <si>
    <t>4020 Caliborne Note</t>
  </si>
  <si>
    <t>Statement Total</t>
  </si>
  <si>
    <t>Year to Date</t>
  </si>
  <si>
    <t>S Tomsu year to date</t>
  </si>
  <si>
    <t>HANO</t>
  </si>
  <si>
    <t>ADH Texas</t>
  </si>
  <si>
    <t>ADC Louisiana</t>
  </si>
  <si>
    <t>DEPOSITS</t>
  </si>
  <si>
    <t>***ADC in</t>
  </si>
  <si>
    <t>***ADC out</t>
  </si>
  <si>
    <t>4020 Claiborne Note</t>
  </si>
  <si>
    <t>Balance</t>
  </si>
  <si>
    <t>Minus Scott Tomsu</t>
  </si>
  <si>
    <t>ADH Texas Deposits</t>
  </si>
  <si>
    <t>ADC Deposits</t>
  </si>
  <si>
    <t>ADH TX Statement Total</t>
  </si>
  <si>
    <t>ADH TX Year to date</t>
  </si>
  <si>
    <t>ADH TX Previous Total</t>
  </si>
  <si>
    <t>***ADC statement total</t>
  </si>
  <si>
    <t>***ADC Previous Total</t>
  </si>
  <si>
    <t>***ADC Year to Date</t>
  </si>
  <si>
    <t>ADT</t>
  </si>
  <si>
    <t>Bank Draft</t>
  </si>
  <si>
    <t>total</t>
  </si>
  <si>
    <t>Payment</t>
  </si>
  <si>
    <t>Additional Property deductions</t>
  </si>
  <si>
    <t>Advantage Design Homes Texas Fund Transfer</t>
  </si>
  <si>
    <t>ADH TX Paid N Johnson</t>
  </si>
  <si>
    <t>D.D.</t>
  </si>
  <si>
    <t>OD Charge</t>
  </si>
  <si>
    <t>Previous Total</t>
  </si>
  <si>
    <t>total TX fund transfer</t>
  </si>
  <si>
    <t>Chase epay</t>
  </si>
  <si>
    <t>Johnson street note</t>
  </si>
  <si>
    <t>Fid Life</t>
  </si>
  <si>
    <t xml:space="preserve">  </t>
  </si>
  <si>
    <t>NFS fee</t>
  </si>
  <si>
    <t>Wire fee</t>
  </si>
  <si>
    <t>Fb</t>
  </si>
  <si>
    <t>Stop Pay</t>
  </si>
  <si>
    <t>July-13</t>
  </si>
</sst>
</file>

<file path=xl/styles.xml><?xml version="1.0" encoding="utf-8"?>
<styleSheet xmlns="http://schemas.openxmlformats.org/spreadsheetml/2006/main">
  <numFmts count="2">
    <numFmt numFmtId="44" formatCode="_(&quot;$&quot;* #,##0.00_);_(&quot;$&quot;* \(#,##0.00\);_(&quot;$&quot;* &quot;-&quot;??_);_(@_)"/>
    <numFmt numFmtId="164" formatCode="&quot;$&quot;#,##0.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44" fontId="0" fillId="0" borderId="0" xfId="1" applyFont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/>
    </xf>
    <xf numFmtId="0" fontId="3" fillId="0" borderId="0" xfId="0" applyFont="1" applyAlignment="1">
      <alignment horizontal="left"/>
    </xf>
    <xf numFmtId="0" fontId="2" fillId="0" borderId="2" xfId="0" applyFont="1" applyBorder="1" applyAlignment="1">
      <alignment horizontal="right"/>
    </xf>
    <xf numFmtId="0" fontId="2" fillId="0" borderId="2" xfId="0" applyFont="1" applyBorder="1"/>
    <xf numFmtId="0" fontId="0" fillId="0" borderId="2" xfId="0" applyBorder="1"/>
    <xf numFmtId="44" fontId="0" fillId="0" borderId="2" xfId="1" applyFont="1" applyBorder="1"/>
    <xf numFmtId="0" fontId="3" fillId="0" borderId="0" xfId="0" applyFont="1" applyBorder="1" applyAlignment="1">
      <alignment horizontal="right"/>
    </xf>
    <xf numFmtId="0" fontId="2" fillId="0" borderId="2" xfId="0" applyFont="1" applyBorder="1" applyAlignment="1"/>
    <xf numFmtId="44" fontId="0" fillId="0" borderId="2" xfId="1" applyFont="1" applyBorder="1" applyAlignment="1">
      <alignment horizontal="right"/>
    </xf>
    <xf numFmtId="0" fontId="0" fillId="0" borderId="0" xfId="0" applyBorder="1"/>
    <xf numFmtId="44" fontId="0" fillId="0" borderId="2" xfId="1" applyFont="1" applyBorder="1" applyAlignment="1">
      <alignment horizontal="left"/>
    </xf>
    <xf numFmtId="44" fontId="0" fillId="0" borderId="2" xfId="1" applyFont="1" applyBorder="1" applyAlignment="1">
      <alignment horizontal="center"/>
    </xf>
    <xf numFmtId="14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0" fillId="0" borderId="4" xfId="0" applyBorder="1"/>
    <xf numFmtId="0" fontId="2" fillId="0" borderId="1" xfId="0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7"/>
  <sheetViews>
    <sheetView tabSelected="1" topLeftCell="A25" workbookViewId="0">
      <selection activeCell="B44" sqref="B44"/>
    </sheetView>
  </sheetViews>
  <sheetFormatPr defaultRowHeight="15"/>
  <cols>
    <col min="1" max="1" width="19" customWidth="1"/>
    <col min="2" max="2" width="11" customWidth="1"/>
    <col min="3" max="6" width="10.5703125" customWidth="1"/>
    <col min="7" max="7" width="11.5703125" bestFit="1" customWidth="1"/>
  </cols>
  <sheetData>
    <row r="1" spans="1:7">
      <c r="B1" s="20" t="s">
        <v>19</v>
      </c>
      <c r="C1" s="20"/>
      <c r="D1" s="20"/>
      <c r="E1" s="20"/>
      <c r="F1" s="21" t="s">
        <v>52</v>
      </c>
      <c r="G1" s="21"/>
    </row>
    <row r="2" spans="1:7">
      <c r="A2" s="7" t="s">
        <v>0</v>
      </c>
      <c r="B2" s="19" t="s">
        <v>16</v>
      </c>
      <c r="C2" s="19"/>
      <c r="D2" s="19" t="s">
        <v>17</v>
      </c>
      <c r="E2" s="19"/>
      <c r="F2" s="19" t="s">
        <v>18</v>
      </c>
      <c r="G2" s="19"/>
    </row>
    <row r="3" spans="1:7">
      <c r="A3" s="7" t="s">
        <v>1</v>
      </c>
      <c r="B3" s="16">
        <v>41456</v>
      </c>
      <c r="C3" s="16"/>
      <c r="D3" s="16"/>
      <c r="E3" s="16"/>
      <c r="F3" s="16"/>
      <c r="G3" s="16"/>
    </row>
    <row r="4" spans="1:7">
      <c r="A4" s="7" t="s">
        <v>2</v>
      </c>
      <c r="B4" s="17">
        <v>5915</v>
      </c>
      <c r="C4" s="17"/>
      <c r="D4" s="17">
        <v>0</v>
      </c>
      <c r="E4" s="17"/>
      <c r="F4" s="17"/>
      <c r="G4" s="17"/>
    </row>
    <row r="5" spans="1:7">
      <c r="A5" s="2"/>
    </row>
    <row r="6" spans="1:7">
      <c r="A6" s="3" t="s">
        <v>3</v>
      </c>
    </row>
    <row r="7" spans="1:7">
      <c r="A7" s="6" t="s">
        <v>4</v>
      </c>
      <c r="B7" s="8"/>
      <c r="C7" s="8"/>
      <c r="D7" s="8"/>
      <c r="E7" s="8"/>
      <c r="F7" s="8"/>
      <c r="G7" s="8"/>
    </row>
    <row r="8" spans="1:7">
      <c r="A8" s="6" t="s">
        <v>5</v>
      </c>
      <c r="B8" s="16"/>
      <c r="C8" s="8"/>
      <c r="D8" s="8"/>
      <c r="E8" s="8"/>
      <c r="F8" s="8"/>
      <c r="G8" s="9"/>
    </row>
    <row r="9" spans="1:7">
      <c r="A9" s="6" t="s">
        <v>2</v>
      </c>
      <c r="B9" s="9"/>
      <c r="C9" s="9"/>
      <c r="D9" s="9"/>
      <c r="E9" s="9"/>
      <c r="F9" s="9"/>
      <c r="G9" s="9"/>
    </row>
    <row r="10" spans="1:7">
      <c r="A10" s="2"/>
      <c r="F10" s="4" t="s">
        <v>35</v>
      </c>
      <c r="G10" s="9">
        <f>SUM(B9:G9)</f>
        <v>0</v>
      </c>
    </row>
    <row r="11" spans="1:7">
      <c r="A11" s="5" t="s">
        <v>6</v>
      </c>
    </row>
    <row r="12" spans="1:7">
      <c r="A12" s="6" t="s">
        <v>4</v>
      </c>
      <c r="B12" s="8" t="s">
        <v>33</v>
      </c>
      <c r="C12" s="8" t="s">
        <v>33</v>
      </c>
      <c r="D12" s="8"/>
      <c r="E12" s="8"/>
      <c r="F12" s="8"/>
      <c r="G12" s="8"/>
    </row>
    <row r="13" spans="1:7">
      <c r="A13" s="6" t="s">
        <v>5</v>
      </c>
      <c r="B13" s="8" t="s">
        <v>34</v>
      </c>
      <c r="C13" s="8" t="s">
        <v>34</v>
      </c>
      <c r="D13" s="18"/>
      <c r="E13" s="16"/>
      <c r="F13" s="8"/>
      <c r="G13" s="8"/>
    </row>
    <row r="14" spans="1:7">
      <c r="A14" s="6" t="s">
        <v>2</v>
      </c>
      <c r="B14" s="9">
        <v>0</v>
      </c>
      <c r="C14" s="9">
        <v>0</v>
      </c>
      <c r="D14" s="9"/>
      <c r="E14" s="9"/>
      <c r="F14" s="9">
        <v>0</v>
      </c>
      <c r="G14" s="9">
        <v>0</v>
      </c>
    </row>
    <row r="15" spans="1:7">
      <c r="A15" s="2"/>
      <c r="F15" s="4" t="s">
        <v>35</v>
      </c>
      <c r="G15" s="9">
        <f>SUM(B14:G14)</f>
        <v>0</v>
      </c>
    </row>
    <row r="16" spans="1:7">
      <c r="A16" s="3" t="s">
        <v>7</v>
      </c>
    </row>
    <row r="17" spans="1:7">
      <c r="A17" s="6" t="s">
        <v>4</v>
      </c>
      <c r="B17" s="8" t="s">
        <v>36</v>
      </c>
      <c r="C17" s="8"/>
      <c r="D17" s="8"/>
      <c r="E17" s="8"/>
      <c r="F17" s="8"/>
      <c r="G17" s="8"/>
    </row>
    <row r="18" spans="1:7">
      <c r="A18" s="6" t="s">
        <v>5</v>
      </c>
      <c r="B18" s="8" t="s">
        <v>34</v>
      </c>
      <c r="C18" s="8"/>
      <c r="D18" s="8"/>
      <c r="E18" s="8"/>
      <c r="F18" s="8"/>
      <c r="G18" s="8"/>
    </row>
    <row r="19" spans="1:7">
      <c r="A19" s="6" t="s">
        <v>2</v>
      </c>
      <c r="B19" s="9">
        <v>2222.85</v>
      </c>
      <c r="C19" s="9">
        <v>0</v>
      </c>
      <c r="D19" s="9">
        <v>0</v>
      </c>
      <c r="E19" s="9"/>
      <c r="F19" s="9"/>
      <c r="G19" s="9"/>
    </row>
    <row r="20" spans="1:7">
      <c r="A20" s="2"/>
      <c r="F20" s="4" t="s">
        <v>35</v>
      </c>
      <c r="G20" s="9">
        <f>SUM(B19:G19)</f>
        <v>2222.85</v>
      </c>
    </row>
    <row r="21" spans="1:7">
      <c r="A21" s="10" t="s">
        <v>8</v>
      </c>
    </row>
    <row r="22" spans="1:7">
      <c r="A22" s="6" t="s">
        <v>4</v>
      </c>
      <c r="B22" s="8"/>
      <c r="C22" s="8"/>
      <c r="D22" s="8"/>
      <c r="E22" s="8"/>
      <c r="F22" s="8"/>
      <c r="G22" s="8"/>
    </row>
    <row r="23" spans="1:7">
      <c r="A23" s="6" t="s">
        <v>5</v>
      </c>
      <c r="B23" s="8"/>
      <c r="C23" s="8"/>
      <c r="D23" s="8"/>
      <c r="E23" s="8"/>
      <c r="F23" s="8"/>
      <c r="G23" s="8"/>
    </row>
    <row r="24" spans="1:7">
      <c r="A24" s="6" t="s">
        <v>2</v>
      </c>
      <c r="B24" s="9"/>
      <c r="C24" s="9">
        <v>0</v>
      </c>
      <c r="D24" s="9">
        <v>0</v>
      </c>
      <c r="E24" s="9"/>
      <c r="F24" s="9"/>
      <c r="G24" s="9"/>
    </row>
    <row r="25" spans="1:7">
      <c r="A25" s="2"/>
      <c r="F25" s="4" t="s">
        <v>35</v>
      </c>
      <c r="G25" s="9">
        <f>SUM(B24:G24)</f>
        <v>0</v>
      </c>
    </row>
    <row r="26" spans="1:7">
      <c r="A26" s="25" t="s">
        <v>37</v>
      </c>
      <c r="B26" s="25"/>
      <c r="C26" s="25"/>
      <c r="D26" s="25"/>
      <c r="E26" s="25"/>
    </row>
    <row r="27" spans="1:7">
      <c r="A27" s="11" t="s">
        <v>5</v>
      </c>
      <c r="B27" s="8" t="s">
        <v>50</v>
      </c>
      <c r="C27" s="8" t="s">
        <v>40</v>
      </c>
      <c r="D27" s="8" t="s">
        <v>40</v>
      </c>
      <c r="E27" s="8" t="s">
        <v>40</v>
      </c>
      <c r="F27" s="8" t="s">
        <v>40</v>
      </c>
      <c r="G27" s="8" t="s">
        <v>40</v>
      </c>
    </row>
    <row r="28" spans="1:7">
      <c r="A28" s="11" t="s">
        <v>0</v>
      </c>
      <c r="B28" s="8" t="s">
        <v>51</v>
      </c>
      <c r="C28" s="8" t="s">
        <v>44</v>
      </c>
      <c r="D28" s="8" t="s">
        <v>46</v>
      </c>
      <c r="E28" s="8" t="s">
        <v>49</v>
      </c>
      <c r="F28" s="8" t="s">
        <v>48</v>
      </c>
      <c r="G28" s="8" t="s">
        <v>41</v>
      </c>
    </row>
    <row r="29" spans="1:7">
      <c r="A29" s="11" t="s">
        <v>2</v>
      </c>
      <c r="B29" s="9">
        <v>0</v>
      </c>
      <c r="C29" s="9">
        <v>0</v>
      </c>
      <c r="D29" s="9">
        <v>47.85</v>
      </c>
      <c r="E29" s="9">
        <v>0</v>
      </c>
      <c r="F29" s="9">
        <v>0</v>
      </c>
      <c r="G29" s="9">
        <v>0</v>
      </c>
    </row>
    <row r="30" spans="1:7">
      <c r="A30" s="2"/>
      <c r="F30" s="4" t="s">
        <v>35</v>
      </c>
      <c r="G30" s="9">
        <f>SUM(B29:G29)</f>
        <v>47.85</v>
      </c>
    </row>
    <row r="31" spans="1:7">
      <c r="A31" s="25" t="s">
        <v>38</v>
      </c>
      <c r="B31" s="25"/>
      <c r="C31" s="25"/>
      <c r="D31" s="25"/>
      <c r="E31" s="25"/>
    </row>
    <row r="32" spans="1:7">
      <c r="A32" s="11" t="s">
        <v>5</v>
      </c>
      <c r="B32" s="8">
        <v>2877</v>
      </c>
      <c r="C32" s="8"/>
      <c r="D32" s="8"/>
      <c r="E32" s="8"/>
      <c r="F32" s="8"/>
      <c r="G32" s="8"/>
    </row>
    <row r="33" spans="1:7">
      <c r="A33" s="11" t="s">
        <v>0</v>
      </c>
      <c r="B33" s="8" t="s">
        <v>17</v>
      </c>
      <c r="C33" s="8"/>
      <c r="D33" s="8"/>
      <c r="E33" s="8"/>
      <c r="F33" s="8"/>
      <c r="G33" s="8"/>
    </row>
    <row r="34" spans="1:7">
      <c r="A34" s="11" t="s">
        <v>2</v>
      </c>
      <c r="B34" s="9">
        <v>3550</v>
      </c>
      <c r="C34" s="9">
        <v>0</v>
      </c>
      <c r="D34" s="9">
        <v>0</v>
      </c>
      <c r="E34" s="9"/>
      <c r="F34" s="9"/>
      <c r="G34" s="9"/>
    </row>
    <row r="35" spans="1:7">
      <c r="A35" s="2"/>
      <c r="E35" s="23" t="s">
        <v>43</v>
      </c>
      <c r="F35" s="24"/>
      <c r="G35" s="9">
        <f>SUM(B34:G34)</f>
        <v>3550</v>
      </c>
    </row>
    <row r="36" spans="1:7">
      <c r="A36" s="6" t="s">
        <v>9</v>
      </c>
      <c r="B36" s="12">
        <v>5915</v>
      </c>
      <c r="E36" s="22" t="s">
        <v>22</v>
      </c>
      <c r="F36" s="22"/>
      <c r="G36" s="12">
        <v>1094.98</v>
      </c>
    </row>
    <row r="37" spans="1:7">
      <c r="A37" s="6" t="s">
        <v>10</v>
      </c>
      <c r="B37" s="12">
        <f>SUM(G10+G15+G20+G25+G30)</f>
        <v>2270.6999999999998</v>
      </c>
      <c r="E37" s="22" t="s">
        <v>39</v>
      </c>
      <c r="F37" s="22"/>
      <c r="G37" s="12">
        <v>1200.83</v>
      </c>
    </row>
    <row r="38" spans="1:7">
      <c r="A38" s="6" t="s">
        <v>11</v>
      </c>
      <c r="B38" s="12">
        <f>SUM(B36-B37)</f>
        <v>3644.3</v>
      </c>
      <c r="E38" s="22" t="s">
        <v>23</v>
      </c>
      <c r="F38" s="22"/>
      <c r="G38" s="12">
        <f>SUM(G35-G36-G37)</f>
        <v>1254.19</v>
      </c>
    </row>
    <row r="39" spans="1:7">
      <c r="A39" s="6" t="s">
        <v>12</v>
      </c>
      <c r="B39" s="12">
        <v>1094.98</v>
      </c>
      <c r="E39" s="22" t="s">
        <v>24</v>
      </c>
      <c r="F39" s="22"/>
      <c r="G39" s="12">
        <v>0</v>
      </c>
    </row>
    <row r="40" spans="1:7">
      <c r="A40" s="6" t="s">
        <v>45</v>
      </c>
      <c r="B40" s="12">
        <v>1200.83</v>
      </c>
      <c r="E40" s="22" t="s">
        <v>25</v>
      </c>
      <c r="F40" s="22"/>
      <c r="G40" s="12">
        <v>0</v>
      </c>
    </row>
    <row r="41" spans="1:7">
      <c r="A41" s="6" t="s">
        <v>13</v>
      </c>
      <c r="B41" s="12">
        <f>SUM(B38-B39-B40)</f>
        <v>1348.4900000000002</v>
      </c>
      <c r="E41" s="22" t="s">
        <v>26</v>
      </c>
      <c r="F41" s="22"/>
      <c r="G41" s="12"/>
    </row>
    <row r="42" spans="1:7">
      <c r="A42" s="6" t="s">
        <v>42</v>
      </c>
      <c r="B42" s="12">
        <v>8350.56</v>
      </c>
      <c r="E42" s="22" t="s">
        <v>27</v>
      </c>
      <c r="F42" s="22"/>
      <c r="G42" s="12">
        <v>1254.19</v>
      </c>
    </row>
    <row r="43" spans="1:7">
      <c r="A43" s="6" t="s">
        <v>14</v>
      </c>
      <c r="B43" s="12">
        <v>9699.0499999999993</v>
      </c>
      <c r="E43" s="22" t="s">
        <v>29</v>
      </c>
      <c r="F43" s="22"/>
      <c r="G43" s="12">
        <v>8435.08</v>
      </c>
    </row>
    <row r="44" spans="1:7">
      <c r="A44" s="2"/>
      <c r="E44" s="22" t="s">
        <v>28</v>
      </c>
      <c r="F44" s="22"/>
      <c r="G44" s="1">
        <v>9689.27</v>
      </c>
    </row>
    <row r="45" spans="1:7">
      <c r="A45" s="2"/>
      <c r="B45" s="13"/>
      <c r="C45" s="14" t="s">
        <v>20</v>
      </c>
      <c r="D45" s="9">
        <v>0</v>
      </c>
      <c r="E45" s="22" t="s">
        <v>30</v>
      </c>
      <c r="F45" s="22"/>
      <c r="G45" s="9" t="s">
        <v>47</v>
      </c>
    </row>
    <row r="46" spans="1:7">
      <c r="A46" s="2"/>
      <c r="B46" s="13"/>
      <c r="C46" s="15" t="s">
        <v>21</v>
      </c>
      <c r="D46" s="9">
        <v>0</v>
      </c>
      <c r="E46" s="22" t="s">
        <v>31</v>
      </c>
      <c r="F46" s="22"/>
      <c r="G46" s="9"/>
    </row>
    <row r="47" spans="1:7">
      <c r="A47" s="7" t="s">
        <v>15</v>
      </c>
      <c r="B47" s="9">
        <v>0</v>
      </c>
      <c r="E47" s="22" t="s">
        <v>32</v>
      </c>
      <c r="F47" s="22"/>
      <c r="G47" s="9"/>
    </row>
  </sheetData>
  <mergeCells count="20">
    <mergeCell ref="A26:E26"/>
    <mergeCell ref="A31:E31"/>
    <mergeCell ref="E44:F44"/>
    <mergeCell ref="E42:F42"/>
    <mergeCell ref="E43:F43"/>
    <mergeCell ref="E45:F45"/>
    <mergeCell ref="E46:F46"/>
    <mergeCell ref="E47:F47"/>
    <mergeCell ref="E39:F39"/>
    <mergeCell ref="E35:F35"/>
    <mergeCell ref="E36:F36"/>
    <mergeCell ref="E37:F37"/>
    <mergeCell ref="E38:F38"/>
    <mergeCell ref="E40:F40"/>
    <mergeCell ref="E41:F41"/>
    <mergeCell ref="B2:C2"/>
    <mergeCell ref="D2:E2"/>
    <mergeCell ref="F2:G2"/>
    <mergeCell ref="B1:E1"/>
    <mergeCell ref="F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Scott Tomsu</cp:lastModifiedBy>
  <cp:lastPrinted>2013-12-09T20:31:56Z</cp:lastPrinted>
  <dcterms:created xsi:type="dcterms:W3CDTF">2013-12-08T18:16:41Z</dcterms:created>
  <dcterms:modified xsi:type="dcterms:W3CDTF">2014-11-19T04:09:43Z</dcterms:modified>
</cp:coreProperties>
</file>