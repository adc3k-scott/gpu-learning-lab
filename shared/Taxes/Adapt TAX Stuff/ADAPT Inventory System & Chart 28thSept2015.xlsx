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9735" firstSheet="1" activeTab="1"/>
  </bookViews>
  <sheets>
    <sheet name="Engine Syst. 1000" sheetId="1" r:id="rId1"/>
    <sheet name="Drivetrain Syst. 2000" sheetId="2" r:id="rId2"/>
    <sheet name="Fuel &amp; Exhaust 3000" sheetId="4" r:id="rId3"/>
    <sheet name="Electrical Syst. 4000" sheetId="5" r:id="rId4"/>
    <sheet name="Tools &amp; Parts 5000" sheetId="6" r:id="rId5"/>
    <sheet name="Misc. 6000" sheetId="3" r:id="rId6"/>
    <sheet name="Inv. Chart" sheetId="7" r:id="rId7"/>
    <sheet name="Drop Down List" sheetId="8" r:id="rId8"/>
  </sheets>
  <definedNames>
    <definedName name="Dept.">'Drop Down List'!$A$1:$A$10</definedName>
    <definedName name="Drivetrain">'Drop Down List'!$A$12:$A$20</definedName>
    <definedName name="Electrical">'Drop Down List'!$A$34:$A$41</definedName>
    <definedName name="Engine" localSheetId="0">'Drop Down List'!$A$1:$A$10</definedName>
    <definedName name="Engine">'Drop Down List'!$A$1:$A$10</definedName>
    <definedName name="Engine__Oil_System">'Engine Syst. 1000'!$A$23</definedName>
    <definedName name="Fuel">'Drop Down List'!$A$22:$A$32</definedName>
    <definedName name="Misc.">'Drop Down List'!$A$50:$A$54</definedName>
    <definedName name="Spec._Tools">'Drop Down List'!$A$43:$A$48</definedName>
    <definedName name="Tools">'Drop Down List'!$A$43:$A$48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/>
  <c r="G7" i="5"/>
  <c r="G37" i="4"/>
  <c r="G39"/>
  <c r="G38"/>
  <c r="G40"/>
  <c r="G22" i="6"/>
  <c r="G21"/>
  <c r="G20"/>
  <c r="G29" i="4"/>
  <c r="G12"/>
  <c r="G36"/>
  <c r="G6"/>
  <c r="G21" i="1"/>
  <c r="G8"/>
  <c r="G5"/>
  <c r="G19" i="6"/>
  <c r="G18"/>
  <c r="G17"/>
  <c r="G15"/>
  <c r="G14"/>
  <c r="G13"/>
  <c r="G12"/>
  <c r="G11"/>
  <c r="G10"/>
  <c r="G9"/>
  <c r="G8"/>
  <c r="G7"/>
  <c r="G6"/>
  <c r="G5"/>
  <c r="G25"/>
  <c r="G27"/>
  <c r="G34" i="4"/>
  <c r="G32"/>
  <c r="G19"/>
  <c r="G18"/>
  <c r="G17"/>
  <c r="G26"/>
  <c r="G25"/>
  <c r="G14"/>
  <c r="G13"/>
  <c r="G11"/>
  <c r="G10"/>
  <c r="G9"/>
  <c r="G30" i="2"/>
  <c r="G29"/>
  <c r="G28"/>
  <c r="G27"/>
  <c r="G11"/>
  <c r="G13" i="1"/>
  <c r="G12"/>
  <c r="G9"/>
</calcChain>
</file>

<file path=xl/sharedStrings.xml><?xml version="1.0" encoding="utf-8"?>
<sst xmlns="http://schemas.openxmlformats.org/spreadsheetml/2006/main" count="657" uniqueCount="390">
  <si>
    <t>Item Description</t>
  </si>
  <si>
    <t>Distributor</t>
  </si>
  <si>
    <t># In Stock</t>
  </si>
  <si>
    <t>TTS MasterTune Software</t>
  </si>
  <si>
    <t>FullSac</t>
  </si>
  <si>
    <t>Champion Copper Plus TC 99-14 + XL 86-14</t>
  </si>
  <si>
    <t>Feuling</t>
  </si>
  <si>
    <t>Retail Price</t>
  </si>
  <si>
    <t>Department/ Category</t>
  </si>
  <si>
    <t>Fuel System/ Tuner</t>
  </si>
  <si>
    <t>Tec/ Jims</t>
  </si>
  <si>
    <t>TEC</t>
  </si>
  <si>
    <t>Engine/ Spark Plugs</t>
  </si>
  <si>
    <t>SE Super Tuner</t>
  </si>
  <si>
    <t>H-D</t>
  </si>
  <si>
    <t>Fuel System/ Throttle Body</t>
  </si>
  <si>
    <t>Delphi Throttle Body Rebuild Kit 2001-2005</t>
  </si>
  <si>
    <t>Horsepower</t>
  </si>
  <si>
    <t>Delphi Throttle Body Rebuild Kit 2006-Present</t>
  </si>
  <si>
    <t>Jims</t>
  </si>
  <si>
    <t>Date:</t>
  </si>
  <si>
    <t>Fueling</t>
  </si>
  <si>
    <t>Fuel System/ Cables</t>
  </si>
  <si>
    <t>H-D Cable - 4 PIN J1850</t>
  </si>
  <si>
    <t>TTS</t>
  </si>
  <si>
    <t>6 PIN CAN Cable</t>
  </si>
  <si>
    <t>2014 Touring 6 Pin CAN Cable</t>
  </si>
  <si>
    <t>Shipping Cost</t>
  </si>
  <si>
    <t>H-D Plug #:5R6A - Evo 1340</t>
  </si>
  <si>
    <t>Champion Spark Plugs - RA8HC (810) 8pk</t>
  </si>
  <si>
    <t>Fuel Systems/ Intake Manifold</t>
  </si>
  <si>
    <t>Item Cost</t>
  </si>
  <si>
    <t>Harley-D IAC Sensor</t>
  </si>
  <si>
    <t>Harley David.</t>
  </si>
  <si>
    <t>Fuel System/ Intake Manifold</t>
  </si>
  <si>
    <t>H-D Intake Manifold Seals (26955-86B)</t>
  </si>
  <si>
    <t>204 N70 Buna-N Nitrile 70 O-ring</t>
  </si>
  <si>
    <t>O-ring Store</t>
  </si>
  <si>
    <t>Super Lube Silicone Lubricating Grease 3oz O-ring Lube</t>
  </si>
  <si>
    <t>Invent. ID #</t>
  </si>
  <si>
    <t>Total Cost of Item</t>
  </si>
  <si>
    <t>H-D Rear Intake Flange Mounting 27010-86A</t>
  </si>
  <si>
    <t>PC USB2.0 A-B Communication Data Cable 37972 (J33)</t>
  </si>
  <si>
    <t>9 Pin Serial Connector Kit</t>
  </si>
  <si>
    <t>Exhaust Gasket &amp; Nut Kit</t>
  </si>
  <si>
    <t>H-D Brake Pad Kit 44082-00C</t>
  </si>
  <si>
    <t>Harley-David.</t>
  </si>
  <si>
    <t>Brake Pads SBS 634HS 1722-0033</t>
  </si>
  <si>
    <t>Parts Unlimited</t>
  </si>
  <si>
    <t>Engine/ Piston Rings</t>
  </si>
  <si>
    <t>Electical System/ Ignition</t>
  </si>
  <si>
    <t>Adjustable Ignition Spark Tester - 404</t>
  </si>
  <si>
    <t>Engine/ Rocker Box</t>
  </si>
  <si>
    <t>Rocker Box Kit TC-88 (88115)</t>
  </si>
  <si>
    <t>Camshaft Remover/Installer Tool (98802)</t>
  </si>
  <si>
    <t>Cam Chain Tensioner Tool (98804)</t>
  </si>
  <si>
    <t>Cam/ Crank Sprocket Lock Tool (98805)</t>
  </si>
  <si>
    <t>Valve Spring Compressor Tool (98971)</t>
  </si>
  <si>
    <t>Wrist Pin Clip Remover/Installer Tool (89771)</t>
  </si>
  <si>
    <t>Wrist Pin Remover Tool (98817)</t>
  </si>
  <si>
    <t>Conical Valve Spring Tool (98695)</t>
  </si>
  <si>
    <t>Piston Support Plate Toolm (98736)</t>
  </si>
  <si>
    <t>K&amp;N Oil Filter TC88 Chrome (73460)</t>
  </si>
  <si>
    <t>Tensioner Inst. Tool (99-05T)</t>
  </si>
  <si>
    <t>Ebay</t>
  </si>
  <si>
    <t>Tensioner Repair Kit (99-05)</t>
  </si>
  <si>
    <t>Valve Spring Tester (1090)</t>
  </si>
  <si>
    <t>Piston Ring Compressor Tool (1236)</t>
  </si>
  <si>
    <t>16.25 Oxygen Sensor (9901)</t>
  </si>
  <si>
    <t>Dual DX Pipe - 12mm &amp; 18mm 02 Ports (4010DD)</t>
  </si>
  <si>
    <t>IAC Sensor - '06+Dyna, '07+Big Twin (31275)</t>
  </si>
  <si>
    <t>Intake Manifold Seal '86-up - 10pk (88536)</t>
  </si>
  <si>
    <t>Drivetrain/ Brakes</t>
  </si>
  <si>
    <t>Drivetrain/ Clutch</t>
  </si>
  <si>
    <t>Kev Clutch '98 + Big Twin (97470)</t>
  </si>
  <si>
    <t>Rear Wheel Alignment Tool (98744)</t>
  </si>
  <si>
    <t>Exhaust Gaskets w/ Graphite - Evo/ Twin Cam -  5pk (88696)</t>
  </si>
  <si>
    <t>Exhaust System/ Exhaust</t>
  </si>
  <si>
    <t>Fuel System/ Carburator</t>
  </si>
  <si>
    <t>Carb Seals to Manifold - '89 + up CV (88514)</t>
  </si>
  <si>
    <t>Hastings Piston Rings 80" EVO + .005 DS-750653</t>
  </si>
  <si>
    <t>QD Electronic Cleaner</t>
  </si>
  <si>
    <t>Advanced</t>
  </si>
  <si>
    <t>Drivetrain/ Primary</t>
  </si>
  <si>
    <t>Primary Rebuild Kit</t>
  </si>
  <si>
    <t>eBay</t>
  </si>
  <si>
    <t>Muffler Recore Kit - 2' chrome (SDC2.0)</t>
  </si>
  <si>
    <t>Exhaust Stud Drill Plate (98835)</t>
  </si>
  <si>
    <t>Exhaust Gasket Installer Tool (98834)</t>
  </si>
  <si>
    <t>Intake Manifold Seals - S&amp;S '84+BT '86+XL (88539)</t>
  </si>
  <si>
    <t>Autolite Spark Plug (Racing) - AR2592</t>
  </si>
  <si>
    <t>Shipping &amp; Tax Cost</t>
  </si>
  <si>
    <t>Autolite Spark Plug (Racing) - AR2594</t>
  </si>
  <si>
    <t>Bosch Spark Plugs - 7956</t>
  </si>
  <si>
    <t>O2 Sensor Bung Plugs</t>
  </si>
  <si>
    <t>Small O-rings</t>
  </si>
  <si>
    <t>Stines</t>
  </si>
  <si>
    <t>Diaphram Clutch Spring</t>
  </si>
  <si>
    <t>High Flow Camplate (8000)</t>
  </si>
  <si>
    <t>Race Series Oil Pump (7050)</t>
  </si>
  <si>
    <t>Race Series Lifters (4050)</t>
  </si>
  <si>
    <t>Camchest Gasket Kit (2050)</t>
  </si>
  <si>
    <t>ADAPT Inventory Chart</t>
  </si>
  <si>
    <t>PRIMARY</t>
  </si>
  <si>
    <t>CLUTCH</t>
  </si>
  <si>
    <t>GEARSHIFT</t>
  </si>
  <si>
    <t>Oil Filter - K&amp;N</t>
  </si>
  <si>
    <t>TRANSMISSION</t>
  </si>
  <si>
    <t>BRAKES</t>
  </si>
  <si>
    <t>ROCKER BOX</t>
  </si>
  <si>
    <t>ENGINE SYSTEM: 1000 - 1900</t>
  </si>
  <si>
    <t>OIL SYSTEM</t>
  </si>
  <si>
    <t>GEARCASE &amp; CAMS</t>
  </si>
  <si>
    <t>CRANKCASE &amp; CRANKSHAFT</t>
  </si>
  <si>
    <t>CYLINDERS HEADS &amp; VALVES</t>
  </si>
  <si>
    <t>CYLINDER, PISTONS, PUSHRODS</t>
  </si>
  <si>
    <t>DRIVETRAIN: 2000 - 2900</t>
  </si>
  <si>
    <t>CHAIN, BELT, SPROCKETS</t>
  </si>
  <si>
    <t>SUSPENSION</t>
  </si>
  <si>
    <t>TIRES &amp; RIMS</t>
  </si>
  <si>
    <t>BODY</t>
  </si>
  <si>
    <t xml:space="preserve">Rocker Box Kit </t>
  </si>
  <si>
    <t>Spark Plugs - Champ. Copper +</t>
  </si>
  <si>
    <t>Spark Plugs - HD 5R6A</t>
  </si>
  <si>
    <t>Spark Plugs - Champ. RA8HC</t>
  </si>
  <si>
    <t>Spark Plugs - Autolite AR2592</t>
  </si>
  <si>
    <t>Spark Plugs - Autolite AR2594</t>
  </si>
  <si>
    <t>Spark Plugs - Bosch 7956</t>
  </si>
  <si>
    <t>Piston Rings - Hasting</t>
  </si>
  <si>
    <t>Camplate - Fueling</t>
  </si>
  <si>
    <t>Lifters - Fueling</t>
  </si>
  <si>
    <t>Camchest Gasket Kit - Fueling</t>
  </si>
  <si>
    <t>Oil Pump - Fueling</t>
  </si>
  <si>
    <t>Kev. Clutch - TEC</t>
  </si>
  <si>
    <t>Diapram Clutch Spring</t>
  </si>
  <si>
    <t>Brake Pads - SBS</t>
  </si>
  <si>
    <t>Brake Pad Kit - HD</t>
  </si>
  <si>
    <t>Brake Pads - Bendx</t>
  </si>
  <si>
    <t>FUEL &amp; EXHAUST SYSTEM: 3000 - 3900</t>
  </si>
  <si>
    <t>ELECTRICAL SYSTEM: 4000 - 4900</t>
  </si>
  <si>
    <t>AIR FILTER</t>
  </si>
  <si>
    <t>CARBURATOR</t>
  </si>
  <si>
    <t>INTAKE MANIFOLD</t>
  </si>
  <si>
    <t>THROTTLE BODY</t>
  </si>
  <si>
    <t>FUEL INTAKE</t>
  </si>
  <si>
    <t>ECM &amp; SENSORS</t>
  </si>
  <si>
    <t>EXHAUST</t>
  </si>
  <si>
    <t>TUNERS, SOFTWEAR, CABLES</t>
  </si>
  <si>
    <t>Air Filter - K&amp;N</t>
  </si>
  <si>
    <t>Carb. Seals to Manifold - TEC</t>
  </si>
  <si>
    <t>Intake Man. Seals '86+ - TEC</t>
  </si>
  <si>
    <t>Intake Man. Seals S&amp;S - TEC</t>
  </si>
  <si>
    <t>Intake Man. Seals - HD</t>
  </si>
  <si>
    <t>Rear Intake Flange Mount - HD</t>
  </si>
  <si>
    <t>TB Rebuild Kit '01-'05- HorseP.</t>
  </si>
  <si>
    <t>TB Rebuild Kit '06+ - HorseP.</t>
  </si>
  <si>
    <t>16.25 O2 Sensor - Fueling</t>
  </si>
  <si>
    <t>IAC Sensor - TEC</t>
  </si>
  <si>
    <t>IAC Sensor - HD</t>
  </si>
  <si>
    <t>O2 Sensor Bung Plug - FullSac</t>
  </si>
  <si>
    <t>Duel DX Pipes 4010DD - FullSac</t>
  </si>
  <si>
    <t>Exhaust Gask. &amp; Nut Kit - eBay</t>
  </si>
  <si>
    <t>Exhaust Gask. W/Graph - TEC</t>
  </si>
  <si>
    <t>Muffler Recore Kit - FullSac</t>
  </si>
  <si>
    <t>TTS Software (Single) - TTS</t>
  </si>
  <si>
    <t>SE Super Tuner - HD</t>
  </si>
  <si>
    <t>TTS Software (Dual) - TTS</t>
  </si>
  <si>
    <t>TTS Software (Upgrade) - TTS</t>
  </si>
  <si>
    <t>4 Pin J1850 Cable - TTS</t>
  </si>
  <si>
    <t>6 Pin CAN Cable - TTS</t>
  </si>
  <si>
    <t>6 Pin CAN '14 Touring  Cable - TTS</t>
  </si>
  <si>
    <t>USB to PC Data Cable - eBay</t>
  </si>
  <si>
    <t>9 Pin Serial Conn. Kit - eBay</t>
  </si>
  <si>
    <t>BATTERY</t>
  </si>
  <si>
    <t>STATOR</t>
  </si>
  <si>
    <t>ALTERNATOR</t>
  </si>
  <si>
    <t>IGNITION</t>
  </si>
  <si>
    <t>RELAY</t>
  </si>
  <si>
    <t>LIGHTS &amp; SIGNALS</t>
  </si>
  <si>
    <t>SECURITY SYSYTEM</t>
  </si>
  <si>
    <t>FUSES</t>
  </si>
  <si>
    <t>Adjustable Ign. Spark Test - eBay</t>
  </si>
  <si>
    <t>MISC: 6000 - 6900</t>
  </si>
  <si>
    <t>SPEC. TOOL &amp; PARTS: 5000 - 5900</t>
  </si>
  <si>
    <t>ENGINE TOOLS</t>
  </si>
  <si>
    <t>O-RINGS</t>
  </si>
  <si>
    <t>CLEANER</t>
  </si>
  <si>
    <t>Wrist Pin Clip Tool - TEC</t>
  </si>
  <si>
    <t>Wrist Pin Remover Tool - TEC</t>
  </si>
  <si>
    <t>Con. Valve Spring Tool - TEC</t>
  </si>
  <si>
    <t>Piston Support Plate Tool - TEC</t>
  </si>
  <si>
    <t>Cam Chain Tens. Tool - TEC</t>
  </si>
  <si>
    <t>Cam/Crank Sprock. Lock - TEC</t>
  </si>
  <si>
    <t>Camshaft Rem/Inst Tool - TEC</t>
  </si>
  <si>
    <t>Valve Spring Comp. Tool - TEC</t>
  </si>
  <si>
    <t>Valve Spring Tester - Jims</t>
  </si>
  <si>
    <t>Piston Ring Comp. Tool - Jims</t>
  </si>
  <si>
    <t>Exhaust Gask. Inst Tool - TEC</t>
  </si>
  <si>
    <t>Exhaust Stud Drill Plate - TEC</t>
  </si>
  <si>
    <t>Tensioner Inst. Tool - eBay</t>
  </si>
  <si>
    <t>Tensioner Repair Kit - eBay</t>
  </si>
  <si>
    <t>Rear Wheel Align. Tool - TEC</t>
  </si>
  <si>
    <t>Buna-Nitrile O-ring 204 - OR Store</t>
  </si>
  <si>
    <t>Small O-rings - Stines</t>
  </si>
  <si>
    <t>O-ring Lube - OR Store</t>
  </si>
  <si>
    <t>QD Elect. Cleaner - AA Parts</t>
  </si>
  <si>
    <t>T - SHIRTS</t>
  </si>
  <si>
    <t>KOOZIES</t>
  </si>
  <si>
    <t>STICKERS</t>
  </si>
  <si>
    <t>Engine/ Cams</t>
  </si>
  <si>
    <t>Engine/ Oil System</t>
  </si>
  <si>
    <t>ADAPT Inventory System:  ENGINE SYSTEM</t>
  </si>
  <si>
    <t>1000 - 1900</t>
  </si>
  <si>
    <t>ADAPT Inventory System:  DRIVETRAIN SYSTEM</t>
  </si>
  <si>
    <t>2000 - 2900</t>
  </si>
  <si>
    <t>Bendx Rear Brake Pad Set '08+ Soft/ Dyna (51056)</t>
  </si>
  <si>
    <t>Bendx Front Brake Pad Set '08+ Soft/ Dyna (51055)</t>
  </si>
  <si>
    <t>2503-F</t>
  </si>
  <si>
    <t>2503-R</t>
  </si>
  <si>
    <t>ADAPT Inventory System:  FUEL &amp; EXHAUST SYST.</t>
  </si>
  <si>
    <t>3000 - 3900</t>
  </si>
  <si>
    <t>Fuel System/ Air Filter</t>
  </si>
  <si>
    <t>Air Filter  - Sportster</t>
  </si>
  <si>
    <t>K&amp;N</t>
  </si>
  <si>
    <t>Fuel System/ Sensors</t>
  </si>
  <si>
    <t>4000 - 4900</t>
  </si>
  <si>
    <t>Spec. Tools</t>
  </si>
  <si>
    <t>Parts/ O-ring</t>
  </si>
  <si>
    <t>Parts/ Cleaner</t>
  </si>
  <si>
    <t>ADAPT Inventory System:  MISC.</t>
  </si>
  <si>
    <t>6000 - 6900</t>
  </si>
  <si>
    <t>ADAPT Inventory System:  SPEC. TOOL &amp; PARTS</t>
  </si>
  <si>
    <t>5000 - 5900</t>
  </si>
  <si>
    <t>HD</t>
  </si>
  <si>
    <t>Shipping/ Tax Cost</t>
  </si>
  <si>
    <t>H-D Intake Manifold Seals - '13 Touring (26995-86B)</t>
  </si>
  <si>
    <t>HD Exhaust Nut (7593) - (5/16 - size, 24 - cut, flange)</t>
  </si>
  <si>
    <t>Parts/ O-rings</t>
  </si>
  <si>
    <t>Intake Man Seals '13 Tour - HD</t>
  </si>
  <si>
    <t>Exhaust Nuts - HD</t>
  </si>
  <si>
    <t>O-ring (109M) - Rubber &amp; Gasket</t>
  </si>
  <si>
    <t>O-rings (109M) - Rubber &amp; Gasket Store</t>
  </si>
  <si>
    <t>GASOLINE</t>
  </si>
  <si>
    <t>DYNO TUNE</t>
  </si>
  <si>
    <t>LABOR</t>
  </si>
  <si>
    <t>Premium/ Super</t>
  </si>
  <si>
    <t>Dyno</t>
  </si>
  <si>
    <t>Labor per Hour</t>
  </si>
  <si>
    <t>NUTS</t>
  </si>
  <si>
    <t>Hex Nuts</t>
  </si>
  <si>
    <t>2503-F/R</t>
  </si>
  <si>
    <t>Misc./ Gasoline</t>
  </si>
  <si>
    <t>Misc./ Dyno</t>
  </si>
  <si>
    <t>Misc./ Labor</t>
  </si>
  <si>
    <t>Tabacco Plus</t>
  </si>
  <si>
    <t>Premium Gasoline - 2.5 Gallons</t>
  </si>
  <si>
    <t>Dyno Tune</t>
  </si>
  <si>
    <t>Adapt</t>
  </si>
  <si>
    <t>Labor - 2.5 hour</t>
  </si>
  <si>
    <t>Misc./ Powdercoat</t>
  </si>
  <si>
    <t>Powdercoat - Slip Ons</t>
  </si>
  <si>
    <t>Afterhours</t>
  </si>
  <si>
    <t>Parts/ Nuts</t>
  </si>
  <si>
    <t xml:space="preserve">Hex Nuts </t>
  </si>
  <si>
    <t>Engine/  Cyl. Heads</t>
  </si>
  <si>
    <t>Engine/  Valves</t>
  </si>
  <si>
    <t>Engine/  Pistons</t>
  </si>
  <si>
    <t>Engine/  Pushrods</t>
  </si>
  <si>
    <t>Engine/  Gearcase</t>
  </si>
  <si>
    <t>Engine/  Cams</t>
  </si>
  <si>
    <t>Engine/  Oil System</t>
  </si>
  <si>
    <t>Engine/  Crankcase</t>
  </si>
  <si>
    <t>Engine/  Rocker Box</t>
  </si>
  <si>
    <t>Engine/  Cylinder</t>
  </si>
  <si>
    <t>Drivetrain/  Primary</t>
  </si>
  <si>
    <t>Drivetrain/  Clutch</t>
  </si>
  <si>
    <t>Drivetrain/  Gearshift</t>
  </si>
  <si>
    <t>Drivetrain/  Transmission</t>
  </si>
  <si>
    <t>Drivetrain/  Chain</t>
  </si>
  <si>
    <t>Drivetrain/  Brakes</t>
  </si>
  <si>
    <t>Drivetrain/  Tires</t>
  </si>
  <si>
    <t>Drivetrain/  Body</t>
  </si>
  <si>
    <t>Fuel System/  Air Filter</t>
  </si>
  <si>
    <t>Fuel System/  Carb.</t>
  </si>
  <si>
    <t>Fuel System/  Intake Manifold</t>
  </si>
  <si>
    <t>Fuel System/  Throttle Body</t>
  </si>
  <si>
    <t>Fuel System/  Fuel Intake</t>
  </si>
  <si>
    <t>Fuel System/  Sensors</t>
  </si>
  <si>
    <t>Fuel System/  Tuner</t>
  </si>
  <si>
    <t>Fuel System/  Cables</t>
  </si>
  <si>
    <t>Exhaust System/  Pipes</t>
  </si>
  <si>
    <t>Exhaust System/  Recore</t>
  </si>
  <si>
    <t>Exhaust System/  Parts</t>
  </si>
  <si>
    <t>Electrical System/  Battery</t>
  </si>
  <si>
    <t>Electrical System/  Stator</t>
  </si>
  <si>
    <t>Electrical System/  Alternator</t>
  </si>
  <si>
    <t>Electrical System/  Ingition</t>
  </si>
  <si>
    <t>Electrical System/  Relay</t>
  </si>
  <si>
    <t>Electrical System/  Lights</t>
  </si>
  <si>
    <t>Electrical System/  Security</t>
  </si>
  <si>
    <t>Electrical System/  Fuses</t>
  </si>
  <si>
    <t>Parts/  O-ring</t>
  </si>
  <si>
    <t>Parts/  Cleaner</t>
  </si>
  <si>
    <t>Parts/  Nuts</t>
  </si>
  <si>
    <t>Parts/  Bolts</t>
  </si>
  <si>
    <t>Parts/  Hardware</t>
  </si>
  <si>
    <t>Misc./  Gasoline</t>
  </si>
  <si>
    <t>Misc./  Powdercoat</t>
  </si>
  <si>
    <t>Misc./  Dyno</t>
  </si>
  <si>
    <t>Misc./  Labor</t>
  </si>
  <si>
    <t>Misc./  Other</t>
  </si>
  <si>
    <t>Throttle Body Rebuild Kit  Throttle-by-Wire</t>
  </si>
  <si>
    <t>Pinion Gear Locker Tool (1665)</t>
  </si>
  <si>
    <t>Belt Tension Gauge (923)</t>
  </si>
  <si>
    <t>Adjustable Torque Wrench Adapter (922)</t>
  </si>
  <si>
    <t>Champion Spark Plugs - RA8HC (810) 24pk</t>
  </si>
  <si>
    <t>-</t>
  </si>
  <si>
    <t>Taylor  24" Spark Plug Wires (99041)</t>
  </si>
  <si>
    <t>Engine/ Spark Plug Wires</t>
  </si>
  <si>
    <t>H-D EFI Check Valve Rebld Kit (601790)</t>
  </si>
  <si>
    <t>TuckerRocky</t>
  </si>
  <si>
    <t>H-D EFI Check Valve Install Tool (601791)</t>
  </si>
  <si>
    <t>O-rings for Check Valve Lower (601798)</t>
  </si>
  <si>
    <t>Kev/ Clutch '90 + BT '91XL (97454)</t>
  </si>
  <si>
    <t>Steel Plate '90 + BT &amp; XL (97491)</t>
  </si>
  <si>
    <t>Dynojet</t>
  </si>
  <si>
    <t xml:space="preserve"> TTS</t>
  </si>
  <si>
    <t>.</t>
  </si>
  <si>
    <t>Twin cam Syn. Oil Chng-In-A-Box (410706)</t>
  </si>
  <si>
    <t>Armor Coat Throttle Cable (666336)</t>
  </si>
  <si>
    <t>Tucker Rocky</t>
  </si>
  <si>
    <t>Armor Coat Idle Cable (666337)</t>
  </si>
  <si>
    <t>Gasket Primary Cover (60539-94B)</t>
  </si>
  <si>
    <t>Gasket Inspection Cover (63859-95B)</t>
  </si>
  <si>
    <t>Primary Rebuild Kit (041289)</t>
  </si>
  <si>
    <t>Kevlar Clutch Kit, 98-10 BT (498035)</t>
  </si>
  <si>
    <t>Clutch Spring, 98-12 BT (498217)</t>
  </si>
  <si>
    <t>Clutch Spring, 98-05 BT (498061)</t>
  </si>
  <si>
    <t>Steel Drive Plate, 98-10 BT (498039)</t>
  </si>
  <si>
    <t>TP Primary Chain, 80-06 FLT/ FXR (591200)</t>
  </si>
  <si>
    <t>TP Primary Chain, BT (591201)</t>
  </si>
  <si>
    <t>Buell Belt</t>
  </si>
  <si>
    <t>Chain Breaker Motion Pro (150420)</t>
  </si>
  <si>
    <t>Shifter Rod (33728-06)</t>
  </si>
  <si>
    <t>TWN Power Break Pads (592361)</t>
  </si>
  <si>
    <t>Drivetrain/ Suspension</t>
  </si>
  <si>
    <t>Fork Oil, SE Performance 1QT (62600027)</t>
  </si>
  <si>
    <t>Primary Gearcase &amp; Trans Oil, Formula + (62600004)</t>
  </si>
  <si>
    <t>Avon Velvet Air Cushion Grips w/ BOSS (179343)</t>
  </si>
  <si>
    <t>Avon Contour Air w/ Throttle BOSS Blk (179375)</t>
  </si>
  <si>
    <t>Vstream Shield 14" STD CLR QNTM (552131)</t>
  </si>
  <si>
    <t>BikeBandit</t>
  </si>
  <si>
    <t>Shinko Tour Master MC Tire  SET (230)</t>
  </si>
  <si>
    <t>Shinko HD Front Tire MC Blackwall 100/90-19  (777)</t>
  </si>
  <si>
    <t>41mm Fork Slider Rebuild Kit (215585)</t>
  </si>
  <si>
    <t>11-1131 Fork Spring HD (771131)</t>
  </si>
  <si>
    <t>COUNTERACT 3oz Balancing Beads 4pk (531872)</t>
  </si>
  <si>
    <t>Shift Linkage (33728-06)</t>
  </si>
  <si>
    <t>Exhaust Flang Gasket, Cone Style (415896)</t>
  </si>
  <si>
    <t>DX Pipes - 12mm O2 Ports ONLY (4010D)</t>
  </si>
  <si>
    <t>O2 Sensor HTD, Front (27729-10)</t>
  </si>
  <si>
    <t>O2 Sensor HTD, Back (27809-10)</t>
  </si>
  <si>
    <t>O2 Sensor - Unheated (27683-07)</t>
  </si>
  <si>
    <t>Throttle Position Sensor (27659-06)</t>
  </si>
  <si>
    <t>PowerVision - License 1Tune (PV-TC1)</t>
  </si>
  <si>
    <t>Voltage Regulator, 3 Phase (74540-08)</t>
  </si>
  <si>
    <t>Stator 08-11, FXST &amp;  DYNA (498406)</t>
  </si>
  <si>
    <t>HD EFI Check Valve Install Tool (601791)</t>
  </si>
  <si>
    <t>Socket Bolt (45405-75A)</t>
  </si>
  <si>
    <t>Screw (3538)</t>
  </si>
  <si>
    <t>Screw (45858-77)</t>
  </si>
  <si>
    <t>Extended Scraper (AC533W233)</t>
  </si>
  <si>
    <t>Gasket Kit Primary Cover (047439)</t>
  </si>
  <si>
    <t>Gasket, Clutch Derby Cover 5pk (047509)</t>
  </si>
  <si>
    <t>Clutch Kit, BT (498656)</t>
  </si>
  <si>
    <t>CV Recal. Carb Kit w/ Gaskets (420415)</t>
  </si>
  <si>
    <t>ADAPT Inventory System:  ELECTRICAL SYSTEM</t>
  </si>
  <si>
    <t>ME880 200/50ZR18 Rear Tire (353386)</t>
  </si>
  <si>
    <t>Arlen Ness Beveled BLK OEM Dipstick (191454001001)</t>
  </si>
  <si>
    <t>100/90-19 MC Front Tire Shinko 712 Street (87-4141)</t>
  </si>
  <si>
    <t>New Direct Fit Fuel Pump, Yamaha Stratoliner (181289678114)</t>
  </si>
  <si>
    <t>Paul Yaffe 12" BLK Classic Bagger Ape Hangers (171929185224)</t>
  </si>
  <si>
    <t>Motion Pro BLK Vinyl Choke Cable (121699846949)</t>
  </si>
  <si>
    <t>HD Twin Cam 100mm Bore (C9894-040)</t>
  </si>
  <si>
    <t>SEP</t>
  </si>
  <si>
    <t>Chech Vlv Rebld Kit</t>
  </si>
  <si>
    <t>Check Vlv Instl Tool</t>
  </si>
  <si>
    <t>Valvoline Oil 20W50 Racing (VV211)</t>
  </si>
  <si>
    <t>Shinko 777 Tire Set - F=100/90-19, R=160/70-17</t>
  </si>
  <si>
    <t>s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</si>
</sst>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8"/>
      <color theme="1"/>
      <name val="Arial Narrow"/>
      <family val="2"/>
    </font>
    <font>
      <i/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22"/>
      <color theme="1"/>
      <name val="Arial Narrow"/>
      <family val="2"/>
    </font>
    <font>
      <b/>
      <sz val="11"/>
      <color theme="1"/>
      <name val="Arial Narrow"/>
      <family val="2"/>
    </font>
    <font>
      <sz val="20"/>
      <color theme="1"/>
      <name val="Arial Narrow"/>
      <family val="2"/>
    </font>
    <font>
      <sz val="10"/>
      <color theme="1"/>
      <name val="Calibri"/>
      <family val="2"/>
      <scheme val="minor"/>
    </font>
    <font>
      <sz val="11"/>
      <color theme="1"/>
      <name val="Simplified Arabic Fixed"/>
      <family val="3"/>
    </font>
    <font>
      <b/>
      <u/>
      <sz val="24"/>
      <color theme="1"/>
      <name val="Simplified Arabic Fixed"/>
      <family val="3"/>
    </font>
    <font>
      <b/>
      <u/>
      <sz val="11"/>
      <color theme="1"/>
      <name val="Simplified Arabic Fixed"/>
      <family val="3"/>
    </font>
    <font>
      <sz val="14"/>
      <color theme="1"/>
      <name val="Simplified Arabic Fixed"/>
      <family val="3"/>
    </font>
    <font>
      <b/>
      <sz val="11"/>
      <color theme="1"/>
      <name val="Simplified Arabic Fixed"/>
      <family val="3"/>
    </font>
    <font>
      <b/>
      <u/>
      <sz val="10"/>
      <color theme="1"/>
      <name val="Simplified Arabic Fixed"/>
      <family val="3"/>
    </font>
    <font>
      <sz val="10"/>
      <color theme="1"/>
      <name val="Simplified Arabic Fixed"/>
      <family val="3"/>
    </font>
    <font>
      <sz val="9"/>
      <color theme="1"/>
      <name val="Simplified Arabic Fixed"/>
      <family val="3"/>
    </font>
    <font>
      <sz val="13"/>
      <color theme="1"/>
      <name val="Simplified Arabic Fixed"/>
      <family val="3"/>
    </font>
    <font>
      <i/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20"/>
      <color theme="1"/>
      <name val="Calibri"/>
      <family val="2"/>
      <scheme val="minor"/>
    </font>
    <font>
      <sz val="9"/>
      <color theme="1"/>
      <name val="Arial Narrow"/>
      <family val="2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theme="6" tint="0.79967650379955446"/>
      </patternFill>
    </fill>
    <fill>
      <patternFill patternType="solid">
        <fgColor rgb="FFE7DAF6"/>
        <bgColor indexed="64"/>
      </patternFill>
    </fill>
    <fill>
      <patternFill patternType="solid">
        <fgColor rgb="FFE7DAF6"/>
        <bgColor theme="6" tint="0.79967650379955446"/>
      </patternFill>
    </fill>
    <fill>
      <patternFill patternType="solid">
        <fgColor rgb="FFEBFFFF"/>
        <bgColor indexed="64"/>
      </patternFill>
    </fill>
    <fill>
      <patternFill patternType="solid">
        <fgColor rgb="FFFFFFD1"/>
        <bgColor indexed="64"/>
      </patternFill>
    </fill>
    <fill>
      <patternFill patternType="solid">
        <fgColor rgb="FFFFFFD1"/>
        <bgColor theme="6" tint="0.79967650379955446"/>
      </patternFill>
    </fill>
    <fill>
      <patternFill patternType="solid">
        <fgColor rgb="FFE5FFFF"/>
        <bgColor indexed="64"/>
      </patternFill>
    </fill>
    <fill>
      <patternFill patternType="solid">
        <fgColor rgb="FFE5FFFF"/>
        <bgColor theme="6" tint="0.79967650379955446"/>
      </patternFill>
    </fill>
    <fill>
      <patternFill patternType="solid">
        <fgColor rgb="FFFFC9C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44" fontId="6" fillId="2" borderId="1" xfId="1" applyFont="1" applyFill="1" applyBorder="1" applyAlignment="1">
      <alignment horizontal="center" vertical="center" wrapText="1"/>
    </xf>
    <xf numFmtId="0" fontId="7" fillId="0" borderId="0" xfId="0" applyFont="1" applyAlignment="1"/>
    <xf numFmtId="44" fontId="8" fillId="2" borderId="1" xfId="1" applyFont="1" applyFill="1" applyBorder="1" applyAlignment="1">
      <alignment horizontal="center" vertical="center" wrapText="1"/>
    </xf>
    <xf numFmtId="0" fontId="2" fillId="0" borderId="0" xfId="0" applyFont="1" applyAlignment="1"/>
    <xf numFmtId="0" fontId="2" fillId="4" borderId="0" xfId="0" applyFont="1" applyFill="1" applyAlignment="1"/>
    <xf numFmtId="0" fontId="2" fillId="4" borderId="0" xfId="0" applyFont="1" applyFill="1" applyAlignment="1">
      <alignment horizontal="center"/>
    </xf>
    <xf numFmtId="44" fontId="2" fillId="4" borderId="0" xfId="1" applyFont="1" applyFill="1" applyAlignment="1">
      <alignment horizontal="center"/>
    </xf>
    <xf numFmtId="44" fontId="4" fillId="4" borderId="0" xfId="1" applyFont="1" applyFill="1" applyAlignment="1">
      <alignment horizontal="center"/>
    </xf>
    <xf numFmtId="0" fontId="5" fillId="0" borderId="0" xfId="0" applyFont="1"/>
    <xf numFmtId="0" fontId="10" fillId="0" borderId="0" xfId="0" applyFont="1"/>
    <xf numFmtId="0" fontId="13" fillId="0" borderId="0" xfId="0" applyFont="1"/>
    <xf numFmtId="0" fontId="11" fillId="0" borderId="0" xfId="0" applyFont="1"/>
    <xf numFmtId="0" fontId="11" fillId="0" borderId="9" xfId="0" applyFont="1" applyBorder="1"/>
    <xf numFmtId="0" fontId="11" fillId="0" borderId="11" xfId="0" applyFont="1" applyBorder="1"/>
    <xf numFmtId="0" fontId="11" fillId="0" borderId="0" xfId="0" applyFont="1" applyAlignment="1">
      <alignment horizontal="center"/>
    </xf>
    <xf numFmtId="0" fontId="11" fillId="0" borderId="4" xfId="0" applyFont="1" applyBorder="1"/>
    <xf numFmtId="0" fontId="11" fillId="0" borderId="5" xfId="0" applyFont="1" applyBorder="1"/>
    <xf numFmtId="0" fontId="11" fillId="0" borderId="9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1" fillId="5" borderId="17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1" fillId="5" borderId="18" xfId="0" applyFont="1" applyFill="1" applyBorder="1" applyAlignment="1">
      <alignment horizontal="center"/>
    </xf>
    <xf numFmtId="0" fontId="11" fillId="3" borderId="0" xfId="0" applyFont="1" applyFill="1" applyAlignment="1"/>
    <xf numFmtId="0" fontId="11" fillId="3" borderId="0" xfId="0" applyFont="1" applyFill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7" borderId="1" xfId="0" applyFont="1" applyFill="1" applyBorder="1" applyAlignment="1"/>
    <xf numFmtId="0" fontId="5" fillId="7" borderId="1" xfId="0" applyFont="1" applyFill="1" applyBorder="1" applyAlignment="1">
      <alignment horizontal="center"/>
    </xf>
    <xf numFmtId="44" fontId="5" fillId="7" borderId="1" xfId="1" applyFont="1" applyFill="1" applyBorder="1" applyAlignment="1">
      <alignment horizontal="center"/>
    </xf>
    <xf numFmtId="44" fontId="5" fillId="7" borderId="1" xfId="1" applyNumberFormat="1" applyFont="1" applyFill="1" applyBorder="1" applyAlignment="1">
      <alignment horizontal="center"/>
    </xf>
    <xf numFmtId="0" fontId="5" fillId="7" borderId="2" xfId="0" applyFont="1" applyFill="1" applyBorder="1" applyAlignment="1"/>
    <xf numFmtId="0" fontId="5" fillId="7" borderId="1" xfId="0" applyFont="1" applyFill="1" applyBorder="1"/>
    <xf numFmtId="0" fontId="5" fillId="5" borderId="1" xfId="0" applyFont="1" applyFill="1" applyBorder="1" applyAlignment="1"/>
    <xf numFmtId="0" fontId="5" fillId="5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44" fontId="5" fillId="8" borderId="1" xfId="1" applyFont="1" applyFill="1" applyBorder="1" applyAlignment="1">
      <alignment horizontal="center" vertical="center"/>
    </xf>
    <xf numFmtId="44" fontId="5" fillId="5" borderId="1" xfId="1" applyFont="1" applyFill="1" applyBorder="1" applyAlignment="1">
      <alignment horizontal="center"/>
    </xf>
    <xf numFmtId="44" fontId="5" fillId="5" borderId="2" xfId="1" applyNumberFormat="1" applyFont="1" applyFill="1" applyBorder="1" applyAlignment="1">
      <alignment horizontal="center"/>
    </xf>
    <xf numFmtId="44" fontId="5" fillId="5" borderId="1" xfId="1" applyNumberFormat="1" applyFont="1" applyFill="1" applyBorder="1" applyAlignment="1">
      <alignment horizontal="center"/>
    </xf>
    <xf numFmtId="0" fontId="5" fillId="5" borderId="2" xfId="0" applyFont="1" applyFill="1" applyBorder="1" applyAlignment="1"/>
    <xf numFmtId="0" fontId="5" fillId="5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 vertical="center"/>
    </xf>
    <xf numFmtId="44" fontId="5" fillId="8" borderId="2" xfId="1" applyFont="1" applyFill="1" applyBorder="1" applyAlignment="1">
      <alignment horizontal="center" vertical="center"/>
    </xf>
    <xf numFmtId="44" fontId="5" fillId="5" borderId="2" xfId="1" applyFont="1" applyFill="1" applyBorder="1" applyAlignment="1">
      <alignment horizontal="center"/>
    </xf>
    <xf numFmtId="0" fontId="5" fillId="5" borderId="1" xfId="0" applyFont="1" applyFill="1" applyBorder="1"/>
    <xf numFmtId="0" fontId="10" fillId="5" borderId="1" xfId="0" applyFont="1" applyFill="1" applyBorder="1"/>
    <xf numFmtId="0" fontId="16" fillId="0" borderId="9" xfId="0" applyFont="1" applyBorder="1"/>
    <xf numFmtId="0" fontId="17" fillId="0" borderId="9" xfId="0" applyFont="1" applyBorder="1"/>
    <xf numFmtId="0" fontId="17" fillId="0" borderId="6" xfId="0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0" fontId="17" fillId="0" borderId="9" xfId="0" applyFont="1" applyBorder="1" applyAlignment="1">
      <alignment horizontal="center"/>
    </xf>
    <xf numFmtId="0" fontId="17" fillId="5" borderId="17" xfId="0" applyFont="1" applyFill="1" applyBorder="1" applyAlignment="1">
      <alignment horizontal="left"/>
    </xf>
    <xf numFmtId="0" fontId="11" fillId="0" borderId="7" xfId="0" applyFont="1" applyBorder="1"/>
    <xf numFmtId="0" fontId="11" fillId="5" borderId="0" xfId="0" applyFont="1" applyFill="1"/>
    <xf numFmtId="0" fontId="17" fillId="0" borderId="0" xfId="0" applyFont="1" applyAlignment="1">
      <alignment horizontal="left"/>
    </xf>
    <xf numFmtId="0" fontId="11" fillId="9" borderId="10" xfId="0" applyFont="1" applyFill="1" applyBorder="1"/>
    <xf numFmtId="0" fontId="14" fillId="0" borderId="0" xfId="0" applyFont="1"/>
    <xf numFmtId="0" fontId="15" fillId="9" borderId="14" xfId="0" applyFont="1" applyFill="1" applyBorder="1" applyAlignment="1">
      <alignment horizontal="center"/>
    </xf>
    <xf numFmtId="0" fontId="17" fillId="9" borderId="10" xfId="0" applyFont="1" applyFill="1" applyBorder="1" applyAlignment="1">
      <alignment horizontal="left"/>
    </xf>
    <xf numFmtId="0" fontId="15" fillId="9" borderId="10" xfId="0" applyFont="1" applyFill="1" applyBorder="1" applyAlignment="1">
      <alignment horizontal="center"/>
    </xf>
    <xf numFmtId="0" fontId="15" fillId="9" borderId="8" xfId="0" applyFont="1" applyFill="1" applyBorder="1" applyAlignment="1">
      <alignment horizontal="center"/>
    </xf>
    <xf numFmtId="0" fontId="15" fillId="9" borderId="12" xfId="0" applyFont="1" applyFill="1" applyBorder="1" applyAlignment="1">
      <alignment horizontal="center"/>
    </xf>
    <xf numFmtId="0" fontId="11" fillId="0" borderId="15" xfId="0" applyFont="1" applyBorder="1"/>
    <xf numFmtId="0" fontId="12" fillId="6" borderId="0" xfId="0" applyFont="1" applyFill="1" applyBorder="1" applyAlignment="1">
      <alignment horizontal="center" vertical="top"/>
    </xf>
    <xf numFmtId="0" fontId="11" fillId="6" borderId="0" xfId="0" applyFont="1" applyFill="1" applyBorder="1" applyAlignment="1">
      <alignment horizontal="center"/>
    </xf>
    <xf numFmtId="0" fontId="14" fillId="6" borderId="0" xfId="0" applyFont="1" applyFill="1" applyBorder="1" applyAlignment="1">
      <alignment horizontal="center"/>
    </xf>
    <xf numFmtId="0" fontId="15" fillId="6" borderId="0" xfId="0" applyFont="1" applyFill="1" applyBorder="1" applyAlignment="1">
      <alignment horizontal="center"/>
    </xf>
    <xf numFmtId="0" fontId="17" fillId="6" borderId="0" xfId="0" applyFont="1" applyFill="1" applyBorder="1" applyAlignment="1">
      <alignment horizontal="left"/>
    </xf>
    <xf numFmtId="0" fontId="12" fillId="6" borderId="0" xfId="0" applyFont="1" applyFill="1" applyAlignment="1">
      <alignment horizontal="center" vertical="top"/>
    </xf>
    <xf numFmtId="0" fontId="11" fillId="6" borderId="0" xfId="0" applyFont="1" applyFill="1" applyAlignment="1">
      <alignment horizontal="center"/>
    </xf>
    <xf numFmtId="0" fontId="15" fillId="5" borderId="16" xfId="0" applyFont="1" applyFill="1" applyBorder="1" applyAlignment="1">
      <alignment horizontal="center"/>
    </xf>
    <xf numFmtId="0" fontId="13" fillId="6" borderId="13" xfId="0" applyFont="1" applyFill="1" applyBorder="1" applyAlignment="1">
      <alignment horizontal="center"/>
    </xf>
    <xf numFmtId="0" fontId="17" fillId="6" borderId="9" xfId="0" applyFont="1" applyFill="1" applyBorder="1" applyAlignment="1">
      <alignment horizontal="left"/>
    </xf>
    <xf numFmtId="0" fontId="13" fillId="6" borderId="9" xfId="0" applyFont="1" applyFill="1" applyBorder="1" applyAlignment="1">
      <alignment horizontal="center"/>
    </xf>
    <xf numFmtId="0" fontId="16" fillId="6" borderId="9" xfId="0" applyFont="1" applyFill="1" applyBorder="1" applyAlignment="1">
      <alignment horizontal="center"/>
    </xf>
    <xf numFmtId="0" fontId="18" fillId="6" borderId="9" xfId="0" applyFont="1" applyFill="1" applyBorder="1" applyAlignment="1">
      <alignment horizontal="left"/>
    </xf>
    <xf numFmtId="0" fontId="17" fillId="6" borderId="11" xfId="0" applyFont="1" applyFill="1" applyBorder="1" applyAlignment="1">
      <alignment horizontal="left"/>
    </xf>
    <xf numFmtId="0" fontId="12" fillId="6" borderId="0" xfId="0" applyFont="1" applyFill="1" applyAlignment="1">
      <alignment horizontal="center"/>
    </xf>
    <xf numFmtId="0" fontId="11" fillId="6" borderId="0" xfId="0" applyFont="1" applyFill="1"/>
    <xf numFmtId="0" fontId="12" fillId="6" borderId="0" xfId="0" applyFont="1" applyFill="1" applyBorder="1" applyAlignment="1">
      <alignment horizontal="center"/>
    </xf>
    <xf numFmtId="0" fontId="11" fillId="6" borderId="0" xfId="0" applyFont="1" applyFill="1" applyBorder="1"/>
    <xf numFmtId="0" fontId="11" fillId="6" borderId="9" xfId="0" applyFont="1" applyFill="1" applyBorder="1"/>
    <xf numFmtId="0" fontId="11" fillId="6" borderId="11" xfId="0" applyFont="1" applyFill="1" applyBorder="1"/>
    <xf numFmtId="0" fontId="17" fillId="6" borderId="9" xfId="0" applyFont="1" applyFill="1" applyBorder="1"/>
    <xf numFmtId="0" fontId="11" fillId="6" borderId="7" xfId="0" applyFont="1" applyFill="1" applyBorder="1"/>
    <xf numFmtId="0" fontId="5" fillId="9" borderId="1" xfId="0" applyFont="1" applyFill="1" applyBorder="1" applyAlignment="1"/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44" fontId="5" fillId="10" borderId="1" xfId="1" applyFont="1" applyFill="1" applyBorder="1" applyAlignment="1">
      <alignment horizontal="center" vertical="center"/>
    </xf>
    <xf numFmtId="44" fontId="5" fillId="9" borderId="1" xfId="1" applyFont="1" applyFill="1" applyBorder="1" applyAlignment="1">
      <alignment horizontal="center"/>
    </xf>
    <xf numFmtId="44" fontId="5" fillId="9" borderId="1" xfId="1" applyNumberFormat="1" applyFont="1" applyFill="1" applyBorder="1" applyAlignment="1">
      <alignment horizontal="center"/>
    </xf>
    <xf numFmtId="14" fontId="9" fillId="0" borderId="0" xfId="0" applyNumberFormat="1" applyFont="1" applyAlignment="1">
      <alignment horizontal="right"/>
    </xf>
    <xf numFmtId="0" fontId="5" fillId="12" borderId="1" xfId="0" applyFont="1" applyFill="1" applyBorder="1" applyAlignment="1"/>
    <xf numFmtId="0" fontId="5" fillId="12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 vertical="center"/>
    </xf>
    <xf numFmtId="44" fontId="5" fillId="13" borderId="1" xfId="1" applyFont="1" applyFill="1" applyBorder="1" applyAlignment="1">
      <alignment horizontal="center" vertical="center"/>
    </xf>
    <xf numFmtId="44" fontId="5" fillId="12" borderId="1" xfId="1" applyFont="1" applyFill="1" applyBorder="1" applyAlignment="1">
      <alignment horizontal="center"/>
    </xf>
    <xf numFmtId="44" fontId="5" fillId="12" borderId="1" xfId="1" applyNumberFormat="1" applyFont="1" applyFill="1" applyBorder="1" applyAlignment="1">
      <alignment horizontal="center"/>
    </xf>
    <xf numFmtId="0" fontId="5" fillId="12" borderId="2" xfId="0" applyFont="1" applyFill="1" applyBorder="1" applyAlignment="1"/>
    <xf numFmtId="0" fontId="5" fillId="12" borderId="2" xfId="0" applyFont="1" applyFill="1" applyBorder="1" applyAlignment="1">
      <alignment horizontal="center"/>
    </xf>
    <xf numFmtId="44" fontId="5" fillId="12" borderId="2" xfId="1" applyFont="1" applyFill="1" applyBorder="1" applyAlignment="1">
      <alignment horizontal="center"/>
    </xf>
    <xf numFmtId="44" fontId="5" fillId="12" borderId="2" xfId="1" applyNumberFormat="1" applyFont="1" applyFill="1" applyBorder="1" applyAlignment="1">
      <alignment horizontal="center"/>
    </xf>
    <xf numFmtId="0" fontId="5" fillId="12" borderId="3" xfId="0" applyFont="1" applyFill="1" applyBorder="1" applyAlignment="1"/>
    <xf numFmtId="0" fontId="5" fillId="12" borderId="3" xfId="0" applyFont="1" applyFill="1" applyBorder="1" applyAlignment="1">
      <alignment horizontal="center"/>
    </xf>
    <xf numFmtId="44" fontId="5" fillId="12" borderId="3" xfId="1" applyFont="1" applyFill="1" applyBorder="1" applyAlignment="1">
      <alignment horizontal="center"/>
    </xf>
    <xf numFmtId="44" fontId="5" fillId="12" borderId="3" xfId="1" applyNumberFormat="1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 vertical="center"/>
    </xf>
    <xf numFmtId="44" fontId="5" fillId="13" borderId="2" xfId="1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44" fontId="5" fillId="13" borderId="3" xfId="1" applyFont="1" applyFill="1" applyBorder="1" applyAlignment="1">
      <alignment horizontal="center" vertical="center"/>
    </xf>
    <xf numFmtId="0" fontId="5" fillId="9" borderId="2" xfId="0" applyFont="1" applyFill="1" applyBorder="1" applyAlignment="1"/>
    <xf numFmtId="0" fontId="5" fillId="9" borderId="2" xfId="0" applyFont="1" applyFill="1" applyBorder="1" applyAlignment="1">
      <alignment horizontal="center"/>
    </xf>
    <xf numFmtId="44" fontId="5" fillId="9" borderId="2" xfId="1" applyFont="1" applyFill="1" applyBorder="1" applyAlignment="1">
      <alignment horizontal="center"/>
    </xf>
    <xf numFmtId="44" fontId="5" fillId="9" borderId="1" xfId="1" applyFont="1" applyFill="1" applyBorder="1"/>
    <xf numFmtId="0" fontId="15" fillId="11" borderId="16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left"/>
    </xf>
    <xf numFmtId="0" fontId="17" fillId="11" borderId="17" xfId="0" applyFont="1" applyFill="1" applyBorder="1" applyAlignment="1">
      <alignment horizontal="left"/>
    </xf>
    <xf numFmtId="0" fontId="15" fillId="11" borderId="17" xfId="0" applyFont="1" applyFill="1" applyBorder="1" applyAlignment="1">
      <alignment horizontal="center"/>
    </xf>
    <xf numFmtId="0" fontId="17" fillId="11" borderId="20" xfId="0" applyFont="1" applyFill="1" applyBorder="1" applyAlignment="1">
      <alignment horizontal="left"/>
    </xf>
    <xf numFmtId="0" fontId="11" fillId="11" borderId="18" xfId="0" applyFont="1" applyFill="1" applyBorder="1" applyAlignment="1">
      <alignment horizontal="center"/>
    </xf>
    <xf numFmtId="0" fontId="15" fillId="12" borderId="14" xfId="0" applyFont="1" applyFill="1" applyBorder="1" applyAlignment="1">
      <alignment horizontal="center"/>
    </xf>
    <xf numFmtId="0" fontId="17" fillId="12" borderId="10" xfId="0" applyFont="1" applyFill="1" applyBorder="1" applyAlignment="1">
      <alignment horizontal="left"/>
    </xf>
    <xf numFmtId="0" fontId="15" fillId="12" borderId="10" xfId="0" applyFont="1" applyFill="1" applyBorder="1" applyAlignment="1">
      <alignment horizontal="center"/>
    </xf>
    <xf numFmtId="0" fontId="15" fillId="12" borderId="12" xfId="0" applyFont="1" applyFill="1" applyBorder="1" applyAlignment="1">
      <alignment horizontal="center"/>
    </xf>
    <xf numFmtId="0" fontId="15" fillId="7" borderId="14" xfId="0" applyFont="1" applyFill="1" applyBorder="1" applyAlignment="1">
      <alignment horizontal="center"/>
    </xf>
    <xf numFmtId="0" fontId="17" fillId="7" borderId="10" xfId="0" applyFont="1" applyFill="1" applyBorder="1" applyAlignment="1">
      <alignment horizontal="left"/>
    </xf>
    <xf numFmtId="0" fontId="15" fillId="7" borderId="10" xfId="0" applyFont="1" applyFill="1" applyBorder="1" applyAlignment="1">
      <alignment horizontal="center"/>
    </xf>
    <xf numFmtId="0" fontId="17" fillId="7" borderId="12" xfId="0" applyFont="1" applyFill="1" applyBorder="1" applyAlignment="1">
      <alignment horizontal="left"/>
    </xf>
    <xf numFmtId="0" fontId="5" fillId="14" borderId="1" xfId="0" applyFont="1" applyFill="1" applyBorder="1" applyAlignment="1">
      <alignment horizontal="center"/>
    </xf>
    <xf numFmtId="0" fontId="5" fillId="14" borderId="1" xfId="0" applyFont="1" applyFill="1" applyBorder="1" applyAlignment="1"/>
    <xf numFmtId="0" fontId="5" fillId="15" borderId="1" xfId="0" applyFont="1" applyFill="1" applyBorder="1" applyAlignment="1">
      <alignment horizontal="center" vertical="center"/>
    </xf>
    <xf numFmtId="44" fontId="5" fillId="15" borderId="1" xfId="1" applyFont="1" applyFill="1" applyBorder="1" applyAlignment="1">
      <alignment horizontal="center" vertical="center"/>
    </xf>
    <xf numFmtId="44" fontId="5" fillId="14" borderId="1" xfId="1" applyFont="1" applyFill="1" applyBorder="1" applyAlignment="1">
      <alignment horizontal="center"/>
    </xf>
    <xf numFmtId="44" fontId="5" fillId="14" borderId="1" xfId="1" applyNumberFormat="1" applyFont="1" applyFill="1" applyBorder="1" applyAlignment="1">
      <alignment horizontal="center"/>
    </xf>
    <xf numFmtId="1" fontId="5" fillId="14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44" fontId="5" fillId="9" borderId="2" xfId="1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4" fontId="5" fillId="0" borderId="0" xfId="1" applyFont="1"/>
    <xf numFmtId="0" fontId="5" fillId="9" borderId="1" xfId="0" applyFont="1" applyFill="1" applyBorder="1"/>
    <xf numFmtId="0" fontId="5" fillId="16" borderId="1" xfId="0" applyFont="1" applyFill="1" applyBorder="1"/>
    <xf numFmtId="0" fontId="5" fillId="16" borderId="1" xfId="0" applyFont="1" applyFill="1" applyBorder="1" applyAlignment="1">
      <alignment horizontal="center"/>
    </xf>
    <xf numFmtId="44" fontId="5" fillId="16" borderId="1" xfId="1" applyFont="1" applyFill="1" applyBorder="1"/>
    <xf numFmtId="0" fontId="15" fillId="16" borderId="14" xfId="0" applyFont="1" applyFill="1" applyBorder="1" applyAlignment="1">
      <alignment horizontal="center"/>
    </xf>
    <xf numFmtId="0" fontId="11" fillId="16" borderId="10" xfId="0" applyFont="1" applyFill="1" applyBorder="1"/>
    <xf numFmtId="0" fontId="15" fillId="16" borderId="10" xfId="0" applyFont="1" applyFill="1" applyBorder="1" applyAlignment="1">
      <alignment horizontal="center"/>
    </xf>
    <xf numFmtId="0" fontId="17" fillId="16" borderId="10" xfId="0" applyFont="1" applyFill="1" applyBorder="1" applyAlignment="1">
      <alignment horizontal="left"/>
    </xf>
    <xf numFmtId="0" fontId="11" fillId="16" borderId="12" xfId="0" applyFont="1" applyFill="1" applyBorder="1"/>
    <xf numFmtId="0" fontId="5" fillId="0" borderId="0" xfId="0" applyFont="1" applyAlignment="1"/>
    <xf numFmtId="0" fontId="5" fillId="4" borderId="0" xfId="0" applyFont="1" applyFill="1" applyAlignment="1"/>
    <xf numFmtId="0" fontId="5" fillId="4" borderId="0" xfId="0" applyFont="1" applyFill="1" applyAlignment="1">
      <alignment horizontal="center"/>
    </xf>
    <xf numFmtId="44" fontId="5" fillId="4" borderId="0" xfId="1" applyFont="1" applyFill="1" applyAlignment="1">
      <alignment horizontal="center"/>
    </xf>
    <xf numFmtId="44" fontId="20" fillId="4" borderId="0" xfId="1" applyFont="1" applyFill="1" applyAlignment="1">
      <alignment horizontal="center"/>
    </xf>
    <xf numFmtId="44" fontId="5" fillId="0" borderId="0" xfId="1" applyFont="1" applyAlignment="1">
      <alignment horizontal="center"/>
    </xf>
    <xf numFmtId="0" fontId="21" fillId="2" borderId="1" xfId="0" applyFont="1" applyFill="1" applyBorder="1" applyAlignment="1">
      <alignment horizontal="center" vertical="center" wrapText="1"/>
    </xf>
    <xf numFmtId="44" fontId="21" fillId="2" borderId="1" xfId="1" applyFont="1" applyFill="1" applyBorder="1" applyAlignment="1">
      <alignment horizontal="center" vertical="center" wrapText="1"/>
    </xf>
    <xf numFmtId="14" fontId="9" fillId="0" borderId="0" xfId="0" applyNumberFormat="1" applyFont="1" applyAlignment="1">
      <alignment horizontal="right"/>
    </xf>
    <xf numFmtId="0" fontId="9" fillId="0" borderId="0" xfId="0" applyFont="1" applyAlignment="1">
      <alignment horizontal="center"/>
    </xf>
    <xf numFmtId="0" fontId="9" fillId="0" borderId="0" xfId="0" applyFont="1" applyAlignment="1"/>
    <xf numFmtId="0" fontId="22" fillId="0" borderId="0" xfId="0" applyFont="1"/>
    <xf numFmtId="0" fontId="5" fillId="0" borderId="0" xfId="0" applyFont="1" applyAlignment="1">
      <alignment horizontal="center" vertical="center" wrapText="1"/>
    </xf>
    <xf numFmtId="0" fontId="10" fillId="12" borderId="1" xfId="0" applyFont="1" applyFill="1" applyBorder="1"/>
    <xf numFmtId="0" fontId="10" fillId="5" borderId="1" xfId="0" applyFont="1" applyFill="1" applyBorder="1" applyAlignment="1">
      <alignment horizontal="center"/>
    </xf>
    <xf numFmtId="44" fontId="10" fillId="5" borderId="1" xfId="1" applyFont="1" applyFill="1" applyBorder="1" applyAlignment="1">
      <alignment horizontal="center"/>
    </xf>
    <xf numFmtId="44" fontId="10" fillId="5" borderId="1" xfId="1" applyFont="1" applyFill="1" applyBorder="1"/>
    <xf numFmtId="0" fontId="7" fillId="0" borderId="0" xfId="0" applyFont="1"/>
    <xf numFmtId="0" fontId="23" fillId="12" borderId="2" xfId="0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/>
    </xf>
    <xf numFmtId="14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4" fontId="9" fillId="0" borderId="0" xfId="1" applyFont="1" applyAlignment="1">
      <alignment horizontal="right"/>
    </xf>
    <xf numFmtId="0" fontId="12" fillId="0" borderId="0" xfId="0" applyFont="1" applyAlignment="1">
      <alignment horizontal="center"/>
    </xf>
    <xf numFmtId="0" fontId="11" fillId="3" borderId="0" xfId="0" applyFont="1" applyFill="1" applyAlignment="1">
      <alignment horizontal="center"/>
    </xf>
    <xf numFmtId="0" fontId="19" fillId="9" borderId="4" xfId="0" applyFont="1" applyFill="1" applyBorder="1" applyAlignment="1">
      <alignment horizontal="center"/>
    </xf>
    <xf numFmtId="0" fontId="19" fillId="9" borderId="5" xfId="0" applyFont="1" applyFill="1" applyBorder="1" applyAlignment="1">
      <alignment horizontal="center"/>
    </xf>
    <xf numFmtId="0" fontId="14" fillId="16" borderId="4" xfId="0" applyFont="1" applyFill="1" applyBorder="1" applyAlignment="1">
      <alignment horizontal="center"/>
    </xf>
    <xf numFmtId="0" fontId="14" fillId="16" borderId="5" xfId="0" applyFont="1" applyFill="1" applyBorder="1" applyAlignment="1">
      <alignment horizontal="center"/>
    </xf>
    <xf numFmtId="0" fontId="14" fillId="11" borderId="4" xfId="0" applyFont="1" applyFill="1" applyBorder="1" applyAlignment="1">
      <alignment horizontal="center"/>
    </xf>
    <xf numFmtId="0" fontId="14" fillId="11" borderId="5" xfId="0" applyFont="1" applyFill="1" applyBorder="1" applyAlignment="1">
      <alignment horizontal="center"/>
    </xf>
    <xf numFmtId="0" fontId="12" fillId="0" borderId="0" xfId="0" applyFont="1" applyAlignment="1">
      <alignment horizontal="center" vertical="top"/>
    </xf>
    <xf numFmtId="0" fontId="14" fillId="5" borderId="4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9" fillId="12" borderId="4" xfId="0" applyFont="1" applyFill="1" applyBorder="1" applyAlignment="1">
      <alignment horizontal="center"/>
    </xf>
    <xf numFmtId="0" fontId="19" fillId="12" borderId="5" xfId="0" applyFont="1" applyFill="1" applyBorder="1" applyAlignment="1">
      <alignment horizontal="center"/>
    </xf>
    <xf numFmtId="0" fontId="14" fillId="7" borderId="4" xfId="0" applyFont="1" applyFill="1" applyBorder="1" applyAlignment="1">
      <alignment horizontal="center"/>
    </xf>
    <xf numFmtId="0" fontId="14" fillId="7" borderId="5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8">
    <dxf>
      <font>
        <strike/>
        <color theme="0" tint="-0.34998626667073579"/>
      </font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0" tint="-0.34998626667073579"/>
      </font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0" tint="-0.34998626667073579"/>
      </font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0" tint="-0.34998626667073579"/>
      </font>
    </dxf>
    <dxf>
      <font>
        <color theme="1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D1"/>
      <color rgb="FFFFC9C9"/>
      <color rgb="FFFFAFAF"/>
      <color rgb="FFE5FFFF"/>
      <color rgb="FFD9FFFF"/>
      <color rgb="FFCEE1F2"/>
      <color rgb="FFE7DAF6"/>
      <color rgb="FFEBFFFF"/>
      <color rgb="FFFFFFB7"/>
      <color rgb="FFB7D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zoomScaleNormal="100" workbookViewId="0">
      <selection activeCell="B17" sqref="B17"/>
    </sheetView>
  </sheetViews>
  <sheetFormatPr defaultColWidth="9.140625" defaultRowHeight="12.75"/>
  <cols>
    <col min="1" max="1" width="22.7109375" style="153" customWidth="1"/>
    <col min="2" max="2" width="7.7109375" style="142" customWidth="1"/>
    <col min="3" max="3" width="41.7109375" style="142" customWidth="1"/>
    <col min="4" max="4" width="11.7109375" style="142" customWidth="1"/>
    <col min="5" max="8" width="10.7109375" style="158" customWidth="1"/>
    <col min="9" max="9" width="7.7109375" style="142" customWidth="1"/>
    <col min="10" max="10" width="22.7109375" style="13" customWidth="1"/>
    <col min="11" max="11" width="7.7109375" style="13" customWidth="1"/>
    <col min="12" max="12" width="41.7109375" style="13" customWidth="1"/>
    <col min="13" max="13" width="11.7109375" style="13" customWidth="1"/>
    <col min="14" max="17" width="10.7109375" style="13" customWidth="1"/>
    <col min="18" max="18" width="7.7109375" style="13" customWidth="1"/>
    <col min="19" max="16384" width="9.140625" style="13"/>
  </cols>
  <sheetData>
    <row r="1" spans="1:9" s="170" customFormat="1" ht="30" customHeight="1">
      <c r="A1" s="6" t="s">
        <v>211</v>
      </c>
      <c r="B1" s="6"/>
      <c r="C1" s="6"/>
      <c r="D1" s="175" t="s">
        <v>212</v>
      </c>
      <c r="E1" s="175"/>
      <c r="F1" s="174" t="s">
        <v>20</v>
      </c>
      <c r="G1" s="174"/>
      <c r="H1" s="173">
        <v>42270</v>
      </c>
      <c r="I1" s="173"/>
    </row>
    <row r="2" spans="1:9" ht="6" customHeight="1">
      <c r="A2" s="154"/>
      <c r="B2" s="155"/>
      <c r="C2" s="155"/>
      <c r="D2" s="155"/>
      <c r="E2" s="156"/>
      <c r="F2" s="157"/>
      <c r="G2" s="157"/>
      <c r="H2" s="157"/>
      <c r="I2" s="155"/>
    </row>
    <row r="3" spans="1:9" ht="9" customHeight="1"/>
    <row r="4" spans="1:9" s="165" customFormat="1" ht="33" customHeight="1">
      <c r="A4" s="159" t="s">
        <v>8</v>
      </c>
      <c r="B4" s="159" t="s">
        <v>39</v>
      </c>
      <c r="C4" s="159" t="s">
        <v>0</v>
      </c>
      <c r="D4" s="159" t="s">
        <v>1</v>
      </c>
      <c r="E4" s="160" t="s">
        <v>31</v>
      </c>
      <c r="F4" s="160" t="s">
        <v>91</v>
      </c>
      <c r="G4" s="160" t="s">
        <v>40</v>
      </c>
      <c r="H4" s="160" t="s">
        <v>7</v>
      </c>
      <c r="I4" s="159" t="s">
        <v>2</v>
      </c>
    </row>
    <row r="5" spans="1:9" ht="17.25" customHeight="1">
      <c r="A5" s="134" t="s">
        <v>52</v>
      </c>
      <c r="B5" s="133">
        <v>1001</v>
      </c>
      <c r="C5" s="135" t="s">
        <v>53</v>
      </c>
      <c r="D5" s="135" t="s">
        <v>11</v>
      </c>
      <c r="E5" s="136">
        <v>24.35</v>
      </c>
      <c r="F5" s="137">
        <v>0</v>
      </c>
      <c r="G5" s="138">
        <f>SUM(E5+F5)*I5</f>
        <v>24.35</v>
      </c>
      <c r="H5" s="137">
        <v>40.57</v>
      </c>
      <c r="I5" s="133">
        <v>1</v>
      </c>
    </row>
    <row r="6" spans="1:9" ht="17.25" customHeight="1">
      <c r="A6" s="134" t="s">
        <v>265</v>
      </c>
      <c r="B6" s="133">
        <v>1101</v>
      </c>
      <c r="C6" s="135" t="s">
        <v>319</v>
      </c>
      <c r="D6" s="135" t="s">
        <v>320</v>
      </c>
      <c r="E6" s="136">
        <v>7.17</v>
      </c>
      <c r="F6" s="137">
        <v>0</v>
      </c>
      <c r="G6" s="138">
        <v>7.17</v>
      </c>
      <c r="H6" s="137">
        <v>12</v>
      </c>
      <c r="I6" s="133">
        <v>1</v>
      </c>
    </row>
    <row r="7" spans="1:9" ht="17.25" customHeight="1">
      <c r="A7" s="134" t="s">
        <v>265</v>
      </c>
      <c r="B7" s="133">
        <v>1102</v>
      </c>
      <c r="C7" s="135" t="s">
        <v>321</v>
      </c>
      <c r="D7" s="135" t="s">
        <v>320</v>
      </c>
      <c r="E7" s="136">
        <v>66.989999999999995</v>
      </c>
      <c r="F7" s="137">
        <v>0</v>
      </c>
      <c r="G7" s="138">
        <v>66.989999999999995</v>
      </c>
      <c r="H7" s="137">
        <v>100</v>
      </c>
      <c r="I7" s="133">
        <v>1</v>
      </c>
    </row>
    <row r="8" spans="1:9" ht="17.25" customHeight="1">
      <c r="A8" s="134" t="s">
        <v>12</v>
      </c>
      <c r="B8" s="139">
        <v>1201</v>
      </c>
      <c r="C8" s="133" t="s">
        <v>5</v>
      </c>
      <c r="D8" s="133" t="s">
        <v>6</v>
      </c>
      <c r="E8" s="137">
        <v>2.25</v>
      </c>
      <c r="F8" s="137">
        <v>0</v>
      </c>
      <c r="G8" s="138">
        <f>SUM(E8+F8)*I8</f>
        <v>0</v>
      </c>
      <c r="H8" s="137">
        <v>3</v>
      </c>
      <c r="I8" s="133">
        <v>0</v>
      </c>
    </row>
    <row r="9" spans="1:9" ht="17.25" customHeight="1">
      <c r="A9" s="134" t="s">
        <v>12</v>
      </c>
      <c r="B9" s="139">
        <v>1202</v>
      </c>
      <c r="C9" s="133" t="s">
        <v>28</v>
      </c>
      <c r="D9" s="133" t="s">
        <v>14</v>
      </c>
      <c r="E9" s="137">
        <v>9.5</v>
      </c>
      <c r="F9" s="137">
        <v>0</v>
      </c>
      <c r="G9" s="138">
        <f>SUM(E9+F9)*I9</f>
        <v>19</v>
      </c>
      <c r="H9" s="137">
        <v>9</v>
      </c>
      <c r="I9" s="133">
        <v>2</v>
      </c>
    </row>
    <row r="10" spans="1:9" ht="17.25" customHeight="1">
      <c r="A10" s="134" t="s">
        <v>12</v>
      </c>
      <c r="B10" s="139">
        <v>1203</v>
      </c>
      <c r="C10" s="133" t="s">
        <v>29</v>
      </c>
      <c r="D10" s="133" t="s">
        <v>11</v>
      </c>
      <c r="E10" s="137">
        <v>14.7</v>
      </c>
      <c r="F10" s="137">
        <v>2.25</v>
      </c>
      <c r="G10" s="138">
        <v>2.11</v>
      </c>
      <c r="H10" s="137">
        <v>3</v>
      </c>
      <c r="I10" s="133">
        <v>0</v>
      </c>
    </row>
    <row r="11" spans="1:9" ht="17.25" customHeight="1">
      <c r="A11" s="134" t="s">
        <v>12</v>
      </c>
      <c r="B11" s="139">
        <v>1203</v>
      </c>
      <c r="C11" s="133" t="s">
        <v>315</v>
      </c>
      <c r="D11" s="133" t="s">
        <v>11</v>
      </c>
      <c r="E11" s="137">
        <v>48.15</v>
      </c>
      <c r="F11" s="137">
        <v>3.76</v>
      </c>
      <c r="G11" s="138">
        <v>2.16</v>
      </c>
      <c r="H11" s="137">
        <v>3</v>
      </c>
      <c r="I11" s="133">
        <v>42</v>
      </c>
    </row>
    <row r="12" spans="1:9" ht="17.25" customHeight="1">
      <c r="A12" s="134" t="s">
        <v>12</v>
      </c>
      <c r="B12" s="139">
        <v>1204</v>
      </c>
      <c r="C12" s="133" t="s">
        <v>90</v>
      </c>
      <c r="D12" s="133" t="s">
        <v>82</v>
      </c>
      <c r="E12" s="137">
        <v>3.89</v>
      </c>
      <c r="F12" s="137">
        <v>0.15</v>
      </c>
      <c r="G12" s="138">
        <f>SUM(E12+F12)</f>
        <v>4.04</v>
      </c>
      <c r="H12" s="137">
        <v>5.25</v>
      </c>
      <c r="I12" s="133">
        <v>0</v>
      </c>
    </row>
    <row r="13" spans="1:9" ht="17.25" customHeight="1">
      <c r="A13" s="134" t="s">
        <v>12</v>
      </c>
      <c r="B13" s="139">
        <v>1205</v>
      </c>
      <c r="C13" s="133" t="s">
        <v>92</v>
      </c>
      <c r="D13" s="133" t="s">
        <v>82</v>
      </c>
      <c r="E13" s="137">
        <v>3.5</v>
      </c>
      <c r="F13" s="137">
        <v>0.14000000000000001</v>
      </c>
      <c r="G13" s="138">
        <f>SUM(E13+F13)</f>
        <v>3.64</v>
      </c>
      <c r="H13" s="137">
        <v>4.75</v>
      </c>
      <c r="I13" s="133">
        <v>0</v>
      </c>
    </row>
    <row r="14" spans="1:9" ht="17.25" customHeight="1">
      <c r="A14" s="134" t="s">
        <v>12</v>
      </c>
      <c r="B14" s="139">
        <v>1206</v>
      </c>
      <c r="C14" s="133" t="s">
        <v>93</v>
      </c>
      <c r="D14" s="133" t="s">
        <v>316</v>
      </c>
      <c r="E14" s="137">
        <v>0</v>
      </c>
      <c r="F14" s="137">
        <v>0</v>
      </c>
      <c r="G14" s="138">
        <v>0</v>
      </c>
      <c r="H14" s="137">
        <v>3</v>
      </c>
      <c r="I14" s="133">
        <v>3</v>
      </c>
    </row>
    <row r="15" spans="1:9" ht="17.25" customHeight="1">
      <c r="A15" s="134" t="s">
        <v>318</v>
      </c>
      <c r="B15" s="139">
        <v>1207</v>
      </c>
      <c r="C15" s="133" t="s">
        <v>317</v>
      </c>
      <c r="D15" s="133" t="s">
        <v>11</v>
      </c>
      <c r="E15" s="137">
        <v>20.75</v>
      </c>
      <c r="F15" s="137">
        <v>3.76</v>
      </c>
      <c r="G15" s="138">
        <v>24.51</v>
      </c>
      <c r="H15" s="137">
        <v>31.75</v>
      </c>
      <c r="I15" s="133">
        <v>2</v>
      </c>
    </row>
    <row r="16" spans="1:9" ht="17.25" customHeight="1">
      <c r="A16" s="134" t="s">
        <v>49</v>
      </c>
      <c r="B16" s="139">
        <v>1208</v>
      </c>
      <c r="C16" s="133" t="s">
        <v>80</v>
      </c>
      <c r="D16" s="133" t="s">
        <v>46</v>
      </c>
      <c r="E16" s="137">
        <v>31.15</v>
      </c>
      <c r="F16" s="137">
        <v>3.42</v>
      </c>
      <c r="G16" s="138">
        <f>SUM(E16+F16)*I16</f>
        <v>34.57</v>
      </c>
      <c r="H16" s="137">
        <v>0</v>
      </c>
      <c r="I16" s="133">
        <v>1</v>
      </c>
    </row>
    <row r="17" spans="1:9" ht="17.25" customHeight="1">
      <c r="A17" s="134" t="s">
        <v>209</v>
      </c>
      <c r="B17" s="133">
        <v>1301</v>
      </c>
      <c r="C17" s="135" t="s">
        <v>98</v>
      </c>
      <c r="D17" s="135" t="s">
        <v>6</v>
      </c>
      <c r="E17" s="136">
        <v>254</v>
      </c>
      <c r="F17" s="137">
        <v>0</v>
      </c>
      <c r="G17" s="138">
        <v>254</v>
      </c>
      <c r="H17" s="137">
        <v>325</v>
      </c>
      <c r="I17" s="133">
        <v>1</v>
      </c>
    </row>
    <row r="18" spans="1:9" ht="17.25" customHeight="1">
      <c r="A18" s="134" t="s">
        <v>209</v>
      </c>
      <c r="B18" s="133">
        <v>1302</v>
      </c>
      <c r="C18" s="133" t="s">
        <v>100</v>
      </c>
      <c r="D18" s="133" t="s">
        <v>6</v>
      </c>
      <c r="E18" s="137">
        <v>190</v>
      </c>
      <c r="F18" s="137">
        <v>0</v>
      </c>
      <c r="G18" s="137">
        <v>190</v>
      </c>
      <c r="H18" s="137">
        <v>210</v>
      </c>
      <c r="I18" s="133">
        <v>1</v>
      </c>
    </row>
    <row r="19" spans="1:9" ht="17.25" customHeight="1">
      <c r="A19" s="134" t="s">
        <v>209</v>
      </c>
      <c r="B19" s="133">
        <v>1303</v>
      </c>
      <c r="C19" s="133" t="s">
        <v>101</v>
      </c>
      <c r="D19" s="133" t="s">
        <v>6</v>
      </c>
      <c r="E19" s="137">
        <v>20</v>
      </c>
      <c r="F19" s="137">
        <v>0</v>
      </c>
      <c r="G19" s="137">
        <v>20</v>
      </c>
      <c r="H19" s="137">
        <v>30</v>
      </c>
      <c r="I19" s="133">
        <v>1</v>
      </c>
    </row>
    <row r="20" spans="1:9" ht="17.25" customHeight="1">
      <c r="A20" s="134" t="s">
        <v>269</v>
      </c>
      <c r="B20" s="133">
        <v>1304</v>
      </c>
      <c r="C20" s="133" t="s">
        <v>383</v>
      </c>
      <c r="D20" s="133" t="s">
        <v>384</v>
      </c>
      <c r="E20" s="137">
        <v>44.99</v>
      </c>
      <c r="F20" s="137">
        <v>0</v>
      </c>
      <c r="G20" s="137">
        <v>44.99</v>
      </c>
      <c r="H20" s="137">
        <v>53.98</v>
      </c>
      <c r="I20" s="133">
        <v>0</v>
      </c>
    </row>
    <row r="21" spans="1:9" ht="17.25" customHeight="1">
      <c r="A21" s="134" t="s">
        <v>210</v>
      </c>
      <c r="B21" s="133">
        <v>1401</v>
      </c>
      <c r="C21" s="135" t="s">
        <v>62</v>
      </c>
      <c r="D21" s="135" t="s">
        <v>11</v>
      </c>
      <c r="E21" s="136">
        <v>12.5</v>
      </c>
      <c r="F21" s="137">
        <v>0</v>
      </c>
      <c r="G21" s="138">
        <f>SUM(E21+F21)*I21</f>
        <v>25</v>
      </c>
      <c r="H21" s="137">
        <v>19.25</v>
      </c>
      <c r="I21" s="133">
        <v>2</v>
      </c>
    </row>
    <row r="22" spans="1:9" ht="17.25" customHeight="1">
      <c r="A22" s="134" t="s">
        <v>210</v>
      </c>
      <c r="B22" s="133">
        <v>1402</v>
      </c>
      <c r="C22" s="133" t="s">
        <v>99</v>
      </c>
      <c r="D22" s="133" t="s">
        <v>6</v>
      </c>
      <c r="E22" s="137">
        <v>354</v>
      </c>
      <c r="F22" s="137">
        <v>0</v>
      </c>
      <c r="G22" s="137">
        <v>354</v>
      </c>
      <c r="H22" s="137">
        <v>415</v>
      </c>
      <c r="I22" s="133">
        <v>1</v>
      </c>
    </row>
    <row r="23" spans="1:9" ht="17.25" customHeight="1">
      <c r="A23" s="134" t="s">
        <v>270</v>
      </c>
      <c r="B23" s="133">
        <v>1403</v>
      </c>
      <c r="C23" s="133" t="s">
        <v>328</v>
      </c>
      <c r="D23" s="133" t="s">
        <v>320</v>
      </c>
      <c r="E23" s="137">
        <v>50.79</v>
      </c>
      <c r="F23" s="137">
        <v>0</v>
      </c>
      <c r="G23" s="137">
        <v>50.79</v>
      </c>
      <c r="H23" s="137">
        <v>78.95</v>
      </c>
      <c r="I23" s="133">
        <v>0</v>
      </c>
    </row>
    <row r="24" spans="1:9" ht="17.25" customHeight="1">
      <c r="A24" s="134" t="s">
        <v>270</v>
      </c>
      <c r="B24" s="133">
        <v>1404</v>
      </c>
      <c r="C24" s="133" t="s">
        <v>378</v>
      </c>
      <c r="D24" s="133" t="s">
        <v>85</v>
      </c>
      <c r="E24" s="137">
        <v>53.94</v>
      </c>
      <c r="F24" s="137">
        <v>0</v>
      </c>
      <c r="G24" s="137">
        <v>53.94</v>
      </c>
      <c r="H24" s="137">
        <v>64.72</v>
      </c>
      <c r="I24" s="133">
        <v>0</v>
      </c>
    </row>
    <row r="25" spans="1:9" ht="17.25" customHeight="1">
      <c r="A25" s="134" t="s">
        <v>270</v>
      </c>
      <c r="B25" s="133">
        <v>1405</v>
      </c>
      <c r="C25" s="133" t="s">
        <v>387</v>
      </c>
      <c r="D25" s="133" t="s">
        <v>82</v>
      </c>
      <c r="E25" s="137">
        <v>5.99</v>
      </c>
      <c r="F25" s="137">
        <v>0.24</v>
      </c>
      <c r="G25" s="137">
        <v>6.23</v>
      </c>
      <c r="H25" s="137">
        <v>7.47</v>
      </c>
      <c r="I25" s="133"/>
    </row>
    <row r="26" spans="1:9" ht="17.25" customHeight="1">
      <c r="A26" s="134"/>
      <c r="B26" s="133"/>
      <c r="C26" s="133"/>
      <c r="D26" s="133"/>
      <c r="E26" s="137"/>
      <c r="F26" s="137"/>
      <c r="G26" s="137"/>
      <c r="H26" s="137"/>
      <c r="I26" s="133"/>
    </row>
    <row r="27" spans="1:9" ht="17.25" customHeight="1">
      <c r="A27" s="134"/>
      <c r="B27" s="133"/>
      <c r="C27" s="133"/>
      <c r="D27" s="133"/>
      <c r="E27" s="137"/>
      <c r="F27" s="137"/>
      <c r="G27" s="137"/>
      <c r="H27" s="137"/>
      <c r="I27" s="133"/>
    </row>
    <row r="28" spans="1:9" ht="17.25" customHeight="1">
      <c r="A28" s="134"/>
      <c r="B28" s="133"/>
      <c r="C28" s="133"/>
      <c r="D28" s="133"/>
      <c r="E28" s="137"/>
      <c r="F28" s="137"/>
      <c r="G28" s="137"/>
      <c r="H28" s="137"/>
      <c r="I28" s="133"/>
    </row>
    <row r="29" spans="1:9" ht="17.25" customHeight="1">
      <c r="A29" s="134"/>
      <c r="B29" s="133"/>
      <c r="C29" s="133"/>
      <c r="D29" s="133"/>
      <c r="E29" s="137"/>
      <c r="F29" s="137"/>
      <c r="G29" s="137"/>
      <c r="H29" s="137"/>
      <c r="I29" s="133"/>
    </row>
    <row r="30" spans="1:9" ht="17.25" customHeight="1">
      <c r="A30" s="134"/>
      <c r="B30" s="133"/>
      <c r="C30" s="133"/>
      <c r="D30" s="133"/>
      <c r="E30" s="137"/>
      <c r="F30" s="137"/>
      <c r="G30" s="137"/>
      <c r="H30" s="137"/>
      <c r="I30" s="133"/>
    </row>
    <row r="31" spans="1:9" ht="17.25" customHeight="1">
      <c r="A31" s="134"/>
      <c r="B31" s="133"/>
      <c r="C31" s="133"/>
      <c r="D31" s="133"/>
      <c r="E31" s="137"/>
      <c r="F31" s="137"/>
      <c r="G31" s="137"/>
      <c r="H31" s="137"/>
      <c r="I31" s="133"/>
    </row>
    <row r="32" spans="1:9" ht="17.25" customHeight="1">
      <c r="A32" s="134"/>
      <c r="B32" s="133"/>
      <c r="C32" s="133"/>
      <c r="D32" s="133"/>
      <c r="E32" s="137"/>
      <c r="F32" s="137"/>
      <c r="G32" s="137"/>
      <c r="H32" s="137"/>
      <c r="I32" s="133"/>
    </row>
    <row r="33" spans="1:9" ht="17.25" customHeight="1">
      <c r="A33" s="134"/>
      <c r="B33" s="133"/>
      <c r="C33" s="133"/>
      <c r="D33" s="133"/>
      <c r="E33" s="137"/>
      <c r="F33" s="137"/>
      <c r="G33" s="137"/>
      <c r="H33" s="137"/>
      <c r="I33" s="133"/>
    </row>
    <row r="34" spans="1:9" ht="17.25" customHeight="1">
      <c r="A34" s="134"/>
      <c r="B34" s="133"/>
      <c r="C34" s="133"/>
      <c r="D34" s="133"/>
      <c r="E34" s="137"/>
      <c r="F34" s="137"/>
      <c r="G34" s="137"/>
      <c r="H34" s="137"/>
      <c r="I34" s="133"/>
    </row>
    <row r="35" spans="1:9" ht="17.25" customHeight="1">
      <c r="A35" s="134"/>
      <c r="B35" s="133"/>
      <c r="C35" s="133"/>
      <c r="D35" s="133"/>
      <c r="E35" s="137"/>
      <c r="F35" s="137"/>
      <c r="G35" s="137"/>
      <c r="H35" s="137"/>
      <c r="I35" s="133"/>
    </row>
    <row r="36" spans="1:9" ht="17.25" customHeight="1">
      <c r="A36" s="134"/>
      <c r="B36" s="133"/>
      <c r="C36" s="133"/>
      <c r="D36" s="133"/>
      <c r="E36" s="137"/>
      <c r="F36" s="137"/>
      <c r="G36" s="137"/>
      <c r="H36" s="137"/>
      <c r="I36" s="133"/>
    </row>
    <row r="37" spans="1:9" ht="17.25" customHeight="1">
      <c r="A37" s="134"/>
      <c r="B37" s="133"/>
      <c r="C37" s="133"/>
      <c r="D37" s="133"/>
      <c r="E37" s="137"/>
      <c r="F37" s="137"/>
      <c r="G37" s="137"/>
      <c r="H37" s="137"/>
      <c r="I37" s="133"/>
    </row>
    <row r="38" spans="1:9" ht="17.25" customHeight="1">
      <c r="A38" s="134"/>
      <c r="B38" s="133"/>
      <c r="C38" s="133"/>
      <c r="D38" s="133"/>
      <c r="E38" s="137"/>
      <c r="F38" s="137"/>
      <c r="G38" s="137"/>
      <c r="H38" s="137"/>
      <c r="I38" s="133"/>
    </row>
    <row r="39" spans="1:9" ht="17.25" customHeight="1">
      <c r="A39" s="134"/>
      <c r="B39" s="133"/>
      <c r="C39" s="133"/>
      <c r="D39" s="133"/>
      <c r="E39" s="137"/>
      <c r="F39" s="137"/>
      <c r="G39" s="137"/>
      <c r="H39" s="137"/>
      <c r="I39" s="133"/>
    </row>
    <row r="40" spans="1:9" ht="17.25" customHeight="1">
      <c r="A40" s="134"/>
      <c r="B40" s="133"/>
      <c r="C40" s="133"/>
      <c r="D40" s="133"/>
      <c r="E40" s="137"/>
      <c r="F40" s="137"/>
      <c r="G40" s="137"/>
      <c r="H40" s="137"/>
      <c r="I40" s="133"/>
    </row>
    <row r="41" spans="1:9" ht="17.25" customHeight="1">
      <c r="A41" s="134"/>
      <c r="B41" s="133"/>
      <c r="C41" s="133"/>
      <c r="D41" s="133"/>
      <c r="E41" s="137"/>
      <c r="F41" s="137"/>
      <c r="G41" s="137"/>
      <c r="H41" s="137"/>
      <c r="I41" s="133"/>
    </row>
    <row r="42" spans="1:9" ht="17.25" customHeight="1">
      <c r="A42" s="134"/>
      <c r="B42" s="133"/>
      <c r="C42" s="133"/>
      <c r="D42" s="133"/>
      <c r="E42" s="137"/>
      <c r="F42" s="137"/>
      <c r="G42" s="137"/>
      <c r="H42" s="137"/>
      <c r="I42" s="133"/>
    </row>
    <row r="43" spans="1:9" ht="17.25" customHeight="1">
      <c r="A43" s="134"/>
      <c r="B43" s="133"/>
      <c r="C43" s="133"/>
      <c r="D43" s="133"/>
      <c r="E43" s="137"/>
      <c r="F43" s="137"/>
      <c r="G43" s="137"/>
      <c r="H43" s="137"/>
      <c r="I43" s="133"/>
    </row>
    <row r="44" spans="1:9" ht="17.25" customHeight="1">
      <c r="A44" s="134"/>
      <c r="B44" s="133"/>
      <c r="C44" s="133"/>
      <c r="D44" s="133"/>
      <c r="E44" s="137"/>
      <c r="F44" s="137"/>
      <c r="G44" s="137"/>
      <c r="H44" s="137"/>
      <c r="I44" s="133"/>
    </row>
    <row r="45" spans="1:9" ht="17.25" customHeight="1">
      <c r="A45" s="134"/>
      <c r="B45" s="133"/>
      <c r="C45" s="133"/>
      <c r="D45" s="133"/>
      <c r="E45" s="137"/>
      <c r="F45" s="137"/>
      <c r="G45" s="137"/>
      <c r="H45" s="137"/>
      <c r="I45" s="133"/>
    </row>
    <row r="46" spans="1:9" ht="17.25" customHeight="1">
      <c r="A46" s="134"/>
      <c r="B46" s="133"/>
      <c r="C46" s="133"/>
      <c r="D46" s="133"/>
      <c r="E46" s="137"/>
      <c r="F46" s="137"/>
      <c r="G46" s="137"/>
      <c r="H46" s="137"/>
      <c r="I46" s="133"/>
    </row>
    <row r="47" spans="1:9" ht="17.25" customHeight="1">
      <c r="A47" s="134"/>
      <c r="B47" s="133"/>
      <c r="C47" s="133"/>
      <c r="D47" s="133"/>
      <c r="E47" s="137"/>
      <c r="F47" s="137"/>
      <c r="G47" s="137"/>
      <c r="H47" s="137"/>
      <c r="I47" s="133"/>
    </row>
    <row r="48" spans="1:9" ht="17.25" customHeight="1">
      <c r="A48" s="134"/>
      <c r="B48" s="133"/>
      <c r="C48" s="133"/>
      <c r="D48" s="133"/>
      <c r="E48" s="137"/>
      <c r="F48" s="137"/>
      <c r="G48" s="137"/>
      <c r="H48" s="137"/>
      <c r="I48" s="133"/>
    </row>
    <row r="49" spans="1:9" ht="17.25" customHeight="1">
      <c r="A49" s="134"/>
      <c r="B49" s="133"/>
      <c r="C49" s="133"/>
      <c r="D49" s="133"/>
      <c r="E49" s="137"/>
      <c r="F49" s="137"/>
      <c r="G49" s="137"/>
      <c r="H49" s="137"/>
      <c r="I49" s="133"/>
    </row>
    <row r="50" spans="1:9" ht="17.25" customHeight="1">
      <c r="A50" s="134"/>
      <c r="B50" s="133"/>
      <c r="C50" s="133"/>
      <c r="D50" s="133"/>
      <c r="E50" s="137"/>
      <c r="F50" s="137"/>
      <c r="G50" s="137"/>
      <c r="H50" s="137"/>
      <c r="I50" s="133"/>
    </row>
    <row r="51" spans="1:9" ht="17.25" customHeight="1">
      <c r="A51" s="134"/>
      <c r="B51" s="133"/>
      <c r="C51" s="133"/>
      <c r="D51" s="133"/>
      <c r="E51" s="137"/>
      <c r="F51" s="137"/>
      <c r="G51" s="137"/>
      <c r="H51" s="137"/>
      <c r="I51" s="133"/>
    </row>
    <row r="52" spans="1:9" ht="17.25" customHeight="1">
      <c r="A52" s="134"/>
      <c r="B52" s="133"/>
      <c r="C52" s="133"/>
      <c r="D52" s="133"/>
      <c r="E52" s="137"/>
      <c r="F52" s="137"/>
      <c r="G52" s="137"/>
      <c r="H52" s="137"/>
      <c r="I52" s="133"/>
    </row>
    <row r="53" spans="1:9" ht="17.25" customHeight="1">
      <c r="A53" s="134"/>
      <c r="B53" s="133"/>
      <c r="C53" s="133"/>
      <c r="D53" s="133"/>
      <c r="E53" s="137"/>
      <c r="F53" s="137"/>
      <c r="G53" s="137"/>
      <c r="H53" s="137"/>
      <c r="I53" s="133"/>
    </row>
    <row r="54" spans="1:9" ht="17.25" customHeight="1">
      <c r="A54" s="134"/>
      <c r="B54" s="133"/>
      <c r="C54" s="133"/>
      <c r="D54" s="133"/>
      <c r="E54" s="137"/>
      <c r="F54" s="137"/>
      <c r="G54" s="137"/>
      <c r="H54" s="137"/>
      <c r="I54" s="133"/>
    </row>
    <row r="55" spans="1:9" ht="17.25" customHeight="1">
      <c r="A55" s="134"/>
      <c r="B55" s="133"/>
      <c r="C55" s="133"/>
      <c r="D55" s="133"/>
      <c r="E55" s="137"/>
      <c r="F55" s="137"/>
      <c r="G55" s="137"/>
      <c r="H55" s="137"/>
      <c r="I55" s="133"/>
    </row>
    <row r="56" spans="1:9" ht="17.25" customHeight="1">
      <c r="A56" s="134"/>
      <c r="B56" s="133"/>
      <c r="C56" s="133"/>
      <c r="D56" s="133"/>
      <c r="E56" s="137"/>
      <c r="F56" s="137"/>
      <c r="G56" s="137"/>
      <c r="H56" s="137"/>
      <c r="I56" s="133"/>
    </row>
    <row r="57" spans="1:9" ht="17.25" customHeight="1">
      <c r="A57" s="134"/>
      <c r="B57" s="133"/>
      <c r="C57" s="133"/>
      <c r="D57" s="133"/>
      <c r="E57" s="137"/>
      <c r="F57" s="137"/>
      <c r="G57" s="137"/>
      <c r="H57" s="137"/>
      <c r="I57" s="133"/>
    </row>
    <row r="58" spans="1:9" ht="17.25" customHeight="1">
      <c r="A58" s="134"/>
      <c r="B58" s="133"/>
      <c r="C58" s="133"/>
      <c r="D58" s="133"/>
      <c r="E58" s="137"/>
      <c r="F58" s="137"/>
      <c r="G58" s="137"/>
      <c r="H58" s="137"/>
      <c r="I58" s="133"/>
    </row>
    <row r="59" spans="1:9" ht="17.25" customHeight="1">
      <c r="A59" s="134"/>
      <c r="B59" s="133"/>
      <c r="C59" s="133"/>
      <c r="D59" s="133"/>
      <c r="E59" s="137"/>
      <c r="F59" s="137"/>
      <c r="G59" s="137"/>
      <c r="H59" s="137"/>
      <c r="I59" s="133"/>
    </row>
    <row r="60" spans="1:9" ht="17.25" customHeight="1">
      <c r="A60" s="134"/>
      <c r="B60" s="133"/>
      <c r="C60" s="133"/>
      <c r="D60" s="133"/>
      <c r="E60" s="137"/>
      <c r="F60" s="137"/>
      <c r="G60" s="137"/>
      <c r="H60" s="137"/>
      <c r="I60" s="133"/>
    </row>
    <row r="61" spans="1:9" ht="17.25" customHeight="1">
      <c r="A61" s="134"/>
      <c r="B61" s="133"/>
      <c r="C61" s="133"/>
      <c r="D61" s="133"/>
      <c r="E61" s="137"/>
      <c r="F61" s="137"/>
      <c r="G61" s="137"/>
      <c r="H61" s="137"/>
      <c r="I61" s="133"/>
    </row>
    <row r="62" spans="1:9" ht="17.25" customHeight="1">
      <c r="A62" s="134"/>
      <c r="B62" s="133"/>
      <c r="C62" s="133"/>
      <c r="D62" s="133"/>
      <c r="E62" s="137"/>
      <c r="F62" s="137"/>
      <c r="G62" s="137"/>
      <c r="H62" s="137"/>
      <c r="I62" s="133"/>
    </row>
    <row r="63" spans="1:9" ht="17.25" customHeight="1">
      <c r="A63" s="134"/>
      <c r="B63" s="133"/>
      <c r="C63" s="133"/>
      <c r="D63" s="133"/>
      <c r="E63" s="137"/>
      <c r="F63" s="137"/>
      <c r="G63" s="137"/>
      <c r="H63" s="137"/>
      <c r="I63" s="133"/>
    </row>
    <row r="64" spans="1:9" ht="17.25" customHeight="1">
      <c r="A64" s="134"/>
      <c r="B64" s="133"/>
      <c r="C64" s="133"/>
      <c r="D64" s="133"/>
      <c r="E64" s="137"/>
      <c r="F64" s="137"/>
      <c r="G64" s="137"/>
      <c r="H64" s="137"/>
      <c r="I64" s="133"/>
    </row>
    <row r="65" spans="1:9" ht="17.25" customHeight="1">
      <c r="A65" s="134"/>
      <c r="B65" s="133"/>
      <c r="C65" s="133"/>
      <c r="D65" s="133"/>
      <c r="E65" s="137"/>
      <c r="F65" s="137"/>
      <c r="G65" s="137"/>
      <c r="H65" s="137"/>
      <c r="I65" s="133"/>
    </row>
    <row r="66" spans="1:9" ht="17.25" customHeight="1">
      <c r="A66" s="134"/>
      <c r="B66" s="133"/>
      <c r="C66" s="133"/>
      <c r="D66" s="133"/>
      <c r="E66" s="137"/>
      <c r="F66" s="137"/>
      <c r="G66" s="137"/>
      <c r="H66" s="137"/>
      <c r="I66" s="133"/>
    </row>
    <row r="67" spans="1:9" ht="17.25" customHeight="1">
      <c r="A67" s="134"/>
      <c r="B67" s="133"/>
      <c r="C67" s="133"/>
      <c r="D67" s="133"/>
      <c r="E67" s="137"/>
      <c r="F67" s="137"/>
      <c r="G67" s="137"/>
      <c r="H67" s="137"/>
      <c r="I67" s="133"/>
    </row>
    <row r="68" spans="1:9" ht="17.25" customHeight="1"/>
    <row r="69" spans="1:9" ht="17.25" customHeight="1"/>
    <row r="70" spans="1:9" ht="17.25" customHeight="1">
      <c r="A70" s="13"/>
      <c r="B70" s="13"/>
      <c r="C70" s="13"/>
      <c r="D70" s="13"/>
      <c r="E70" s="13"/>
      <c r="F70" s="13"/>
      <c r="G70" s="13"/>
      <c r="H70" s="13"/>
      <c r="I70" s="13"/>
    </row>
    <row r="71" spans="1:9" ht="17.25" customHeight="1">
      <c r="A71" s="13"/>
      <c r="B71" s="13"/>
      <c r="C71" s="13"/>
      <c r="D71" s="13"/>
      <c r="E71" s="13"/>
      <c r="F71" s="13"/>
      <c r="G71" s="13"/>
      <c r="H71" s="13"/>
      <c r="I71" s="13"/>
    </row>
    <row r="72" spans="1:9" ht="17.25" customHeight="1">
      <c r="A72" s="13"/>
      <c r="B72" s="13"/>
      <c r="C72" s="13"/>
      <c r="D72" s="13"/>
      <c r="E72" s="13"/>
      <c r="F72" s="13"/>
      <c r="G72" s="13"/>
      <c r="H72" s="13"/>
      <c r="I72" s="13"/>
    </row>
    <row r="73" spans="1:9" ht="17.25" customHeight="1">
      <c r="A73" s="13"/>
      <c r="B73" s="13"/>
      <c r="C73" s="13"/>
      <c r="D73" s="13"/>
      <c r="E73" s="13"/>
      <c r="F73" s="13"/>
      <c r="G73" s="13"/>
      <c r="H73" s="13"/>
      <c r="I73" s="13"/>
    </row>
    <row r="74" spans="1:9" ht="17.25" customHeight="1"/>
  </sheetData>
  <mergeCells count="3">
    <mergeCell ref="H1:I1"/>
    <mergeCell ref="F1:G1"/>
    <mergeCell ref="D1:E1"/>
  </mergeCells>
  <conditionalFormatting sqref="C21:E21 C17:E17 C5:E7">
    <cfRule type="expression" dxfId="7" priority="7">
      <formula>#REF!=1</formula>
    </cfRule>
  </conditionalFormatting>
  <conditionalFormatting sqref="C21:E21 C17:E17 C5:E7">
    <cfRule type="expression" dxfId="6" priority="24">
      <formula>#REF!="yes"</formula>
    </cfRule>
  </conditionalFormatting>
  <dataValidations count="1">
    <dataValidation type="list" allowBlank="1" showInputMessage="1" showErrorMessage="1" sqref="A20 A23:A67 A6:A7">
      <formula1>Engine</formula1>
    </dataValidation>
  </dataValidations>
  <printOptions horizontalCentered="1" verticalCentered="1"/>
  <pageMargins left="0" right="0" top="0.25" bottom="0.2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2"/>
  <sheetViews>
    <sheetView tabSelected="1" topLeftCell="A24" workbookViewId="0">
      <selection activeCell="I45" sqref="I45"/>
    </sheetView>
  </sheetViews>
  <sheetFormatPr defaultRowHeight="15"/>
  <cols>
    <col min="1" max="1" width="22.7109375" customWidth="1"/>
    <col min="2" max="2" width="7.7109375" customWidth="1"/>
    <col min="3" max="3" width="41.7109375" customWidth="1"/>
    <col min="4" max="4" width="11.7109375" customWidth="1"/>
    <col min="5" max="8" width="10.7109375" customWidth="1"/>
    <col min="9" max="9" width="7.7109375" customWidth="1"/>
  </cols>
  <sheetData>
    <row r="1" spans="1:9" ht="30" customHeight="1">
      <c r="A1" s="6" t="s">
        <v>213</v>
      </c>
      <c r="B1" s="6"/>
      <c r="C1" s="6"/>
      <c r="D1" s="2"/>
      <c r="E1" s="177" t="s">
        <v>214</v>
      </c>
      <c r="F1" s="177"/>
      <c r="G1" s="96" t="s">
        <v>20</v>
      </c>
      <c r="H1" s="176">
        <v>42270</v>
      </c>
      <c r="I1" s="176"/>
    </row>
    <row r="2" spans="1:9" ht="6" customHeight="1">
      <c r="A2" s="9"/>
      <c r="B2" s="10"/>
      <c r="C2" s="10"/>
      <c r="D2" s="10"/>
      <c r="E2" s="11"/>
      <c r="F2" s="12"/>
      <c r="G2" s="12"/>
      <c r="H2" s="12"/>
      <c r="I2" s="10"/>
    </row>
    <row r="3" spans="1:9" ht="9" customHeight="1">
      <c r="A3" s="8"/>
      <c r="B3" s="2"/>
      <c r="C3" s="2"/>
      <c r="D3" s="2"/>
      <c r="E3" s="3"/>
      <c r="F3" s="3"/>
      <c r="G3" s="3"/>
      <c r="H3" s="3"/>
      <c r="I3" s="2"/>
    </row>
    <row r="4" spans="1:9" ht="33" customHeight="1">
      <c r="A4" s="4" t="s">
        <v>8</v>
      </c>
      <c r="B4" s="4" t="s">
        <v>39</v>
      </c>
      <c r="C4" s="4" t="s">
        <v>0</v>
      </c>
      <c r="D4" s="4" t="s">
        <v>1</v>
      </c>
      <c r="E4" s="5" t="s">
        <v>31</v>
      </c>
      <c r="F4" s="7" t="s">
        <v>91</v>
      </c>
      <c r="G4" s="5" t="s">
        <v>40</v>
      </c>
      <c r="H4" s="5" t="s">
        <v>7</v>
      </c>
      <c r="I4" s="4" t="s">
        <v>2</v>
      </c>
    </row>
    <row r="5" spans="1:9" s="14" customFormat="1" ht="17.100000000000001" customHeight="1">
      <c r="A5" s="37" t="s">
        <v>83</v>
      </c>
      <c r="B5" s="38">
        <v>2001</v>
      </c>
      <c r="C5" s="39" t="s">
        <v>84</v>
      </c>
      <c r="D5" s="39" t="s">
        <v>85</v>
      </c>
      <c r="E5" s="40">
        <v>78.040000000000006</v>
      </c>
      <c r="F5" s="41">
        <v>0</v>
      </c>
      <c r="G5" s="41">
        <v>78.040000000000006</v>
      </c>
      <c r="H5" s="41">
        <v>78.040000000000006</v>
      </c>
      <c r="I5" s="38">
        <v>0</v>
      </c>
    </row>
    <row r="6" spans="1:9" s="14" customFormat="1" ht="17.100000000000001" customHeight="1">
      <c r="A6" s="49" t="s">
        <v>274</v>
      </c>
      <c r="B6" s="38">
        <v>2002</v>
      </c>
      <c r="C6" s="39" t="s">
        <v>332</v>
      </c>
      <c r="D6" s="39" t="s">
        <v>233</v>
      </c>
      <c r="E6" s="40">
        <v>30.86</v>
      </c>
      <c r="F6" s="41">
        <v>1.22</v>
      </c>
      <c r="G6" s="48">
        <v>32.08</v>
      </c>
      <c r="H6" s="41">
        <v>40.1</v>
      </c>
      <c r="I6" s="38">
        <v>0</v>
      </c>
    </row>
    <row r="7" spans="1:9" s="14" customFormat="1" ht="17.100000000000001" customHeight="1">
      <c r="A7" s="49" t="s">
        <v>274</v>
      </c>
      <c r="B7" s="38">
        <v>2003</v>
      </c>
      <c r="C7" s="39" t="s">
        <v>333</v>
      </c>
      <c r="D7" s="39" t="s">
        <v>233</v>
      </c>
      <c r="E7" s="40">
        <v>1.57</v>
      </c>
      <c r="F7" s="41">
        <v>1.22</v>
      </c>
      <c r="G7" s="48">
        <v>2.79</v>
      </c>
      <c r="H7" s="41">
        <v>3.48</v>
      </c>
      <c r="I7" s="38">
        <v>0</v>
      </c>
    </row>
    <row r="8" spans="1:9" s="14" customFormat="1" ht="17.100000000000001" customHeight="1">
      <c r="A8" s="49" t="s">
        <v>274</v>
      </c>
      <c r="B8" s="38">
        <v>2004</v>
      </c>
      <c r="C8" s="39" t="s">
        <v>334</v>
      </c>
      <c r="D8" s="39" t="s">
        <v>330</v>
      </c>
      <c r="E8" s="40">
        <v>54.59</v>
      </c>
      <c r="F8" s="41">
        <v>0</v>
      </c>
      <c r="G8" s="48">
        <v>54.59</v>
      </c>
      <c r="H8" s="41">
        <v>90.99</v>
      </c>
      <c r="I8" s="38">
        <v>0</v>
      </c>
    </row>
    <row r="9" spans="1:9" s="14" customFormat="1" ht="17.100000000000001" customHeight="1">
      <c r="A9" s="49" t="s">
        <v>274</v>
      </c>
      <c r="B9" s="38">
        <v>2005</v>
      </c>
      <c r="C9" s="39" t="s">
        <v>347</v>
      </c>
      <c r="D9" s="39" t="s">
        <v>233</v>
      </c>
      <c r="E9" s="40">
        <v>9.9499999999999993</v>
      </c>
      <c r="F9" s="41">
        <v>0.89</v>
      </c>
      <c r="G9" s="48">
        <v>10.84</v>
      </c>
      <c r="H9" s="41">
        <v>13</v>
      </c>
      <c r="I9" s="38">
        <v>0</v>
      </c>
    </row>
    <row r="10" spans="1:9" s="14" customFormat="1" ht="17.100000000000001" customHeight="1">
      <c r="A10" s="49" t="s">
        <v>274</v>
      </c>
      <c r="B10" s="38">
        <v>2006</v>
      </c>
      <c r="C10" s="39" t="s">
        <v>372</v>
      </c>
      <c r="D10" s="39" t="s">
        <v>330</v>
      </c>
      <c r="E10" s="40">
        <v>31.74</v>
      </c>
      <c r="F10" s="41">
        <v>0</v>
      </c>
      <c r="G10" s="48">
        <v>31.74</v>
      </c>
      <c r="H10" s="41">
        <v>46.99</v>
      </c>
      <c r="I10" s="38"/>
    </row>
    <row r="11" spans="1:9" s="14" customFormat="1" ht="17.100000000000001" customHeight="1">
      <c r="A11" s="37" t="s">
        <v>73</v>
      </c>
      <c r="B11" s="38">
        <v>2101</v>
      </c>
      <c r="C11" s="39" t="s">
        <v>74</v>
      </c>
      <c r="D11" s="39" t="s">
        <v>11</v>
      </c>
      <c r="E11" s="40">
        <v>82</v>
      </c>
      <c r="F11" s="41">
        <v>2.75</v>
      </c>
      <c r="G11" s="42">
        <f>SUM(E11+F11)*I11</f>
        <v>0</v>
      </c>
      <c r="H11" s="41">
        <v>136.61000000000001</v>
      </c>
      <c r="I11" s="38">
        <v>0</v>
      </c>
    </row>
    <row r="12" spans="1:9" s="14" customFormat="1" ht="17.100000000000001" customHeight="1">
      <c r="A12" s="37" t="s">
        <v>73</v>
      </c>
      <c r="B12" s="38">
        <v>2102</v>
      </c>
      <c r="C12" s="39" t="s">
        <v>97</v>
      </c>
      <c r="D12" s="39"/>
      <c r="E12" s="40">
        <v>0</v>
      </c>
      <c r="F12" s="41">
        <v>0</v>
      </c>
      <c r="G12" s="42">
        <v>0</v>
      </c>
      <c r="H12" s="41">
        <v>0</v>
      </c>
      <c r="I12" s="38">
        <v>2</v>
      </c>
    </row>
    <row r="13" spans="1:9" s="14" customFormat="1" ht="17.100000000000001" customHeight="1">
      <c r="A13" s="37" t="s">
        <v>73</v>
      </c>
      <c r="B13" s="38">
        <v>2103</v>
      </c>
      <c r="C13" s="39" t="s">
        <v>323</v>
      </c>
      <c r="D13" s="39" t="s">
        <v>11</v>
      </c>
      <c r="E13" s="40">
        <v>68.55</v>
      </c>
      <c r="F13" s="41">
        <v>5.99</v>
      </c>
      <c r="G13" s="42">
        <v>74.540000000000006</v>
      </c>
      <c r="H13" s="41">
        <v>114.2</v>
      </c>
      <c r="I13" s="38">
        <v>0</v>
      </c>
    </row>
    <row r="14" spans="1:9" s="14" customFormat="1" ht="17.100000000000001" customHeight="1">
      <c r="A14" s="37" t="s">
        <v>73</v>
      </c>
      <c r="B14" s="38">
        <v>2104</v>
      </c>
      <c r="C14" s="39" t="s">
        <v>324</v>
      </c>
      <c r="D14" s="39" t="s">
        <v>11</v>
      </c>
      <c r="E14" s="40">
        <v>3.85</v>
      </c>
      <c r="F14" s="41">
        <v>1.71</v>
      </c>
      <c r="G14" s="42">
        <v>5.56</v>
      </c>
      <c r="H14" s="41">
        <v>6.58</v>
      </c>
      <c r="I14" s="38">
        <v>0</v>
      </c>
    </row>
    <row r="15" spans="1:9" s="14" customFormat="1" ht="17.100000000000001" customHeight="1">
      <c r="A15" s="49" t="s">
        <v>275</v>
      </c>
      <c r="B15" s="38">
        <v>2105</v>
      </c>
      <c r="C15" s="39" t="s">
        <v>335</v>
      </c>
      <c r="D15" s="39" t="s">
        <v>330</v>
      </c>
      <c r="E15" s="40">
        <v>81.99</v>
      </c>
      <c r="F15" s="41">
        <v>0</v>
      </c>
      <c r="G15" s="42">
        <v>81.99</v>
      </c>
      <c r="H15" s="41">
        <v>136.65</v>
      </c>
      <c r="I15" s="38">
        <v>0</v>
      </c>
    </row>
    <row r="16" spans="1:9" s="14" customFormat="1" ht="17.100000000000001" customHeight="1">
      <c r="A16" s="49" t="s">
        <v>275</v>
      </c>
      <c r="B16" s="38">
        <v>2106</v>
      </c>
      <c r="C16" s="39" t="s">
        <v>336</v>
      </c>
      <c r="D16" s="39" t="s">
        <v>330</v>
      </c>
      <c r="E16" s="40">
        <v>7.6</v>
      </c>
      <c r="F16" s="41">
        <v>0</v>
      </c>
      <c r="G16" s="42">
        <v>7.6</v>
      </c>
      <c r="H16" s="41">
        <v>10.99</v>
      </c>
      <c r="I16" s="38">
        <v>0</v>
      </c>
    </row>
    <row r="17" spans="1:9" s="14" customFormat="1" ht="17.100000000000001" customHeight="1">
      <c r="A17" s="49" t="s">
        <v>275</v>
      </c>
      <c r="B17" s="38">
        <v>2107</v>
      </c>
      <c r="C17" s="39" t="s">
        <v>337</v>
      </c>
      <c r="D17" s="39" t="s">
        <v>330</v>
      </c>
      <c r="E17" s="40">
        <v>19.59</v>
      </c>
      <c r="F17" s="41">
        <v>0</v>
      </c>
      <c r="G17" s="42">
        <v>19.59</v>
      </c>
      <c r="H17" s="41">
        <v>32.51</v>
      </c>
      <c r="I17" s="38">
        <v>0</v>
      </c>
    </row>
    <row r="18" spans="1:9" s="14" customFormat="1" ht="17.100000000000001" customHeight="1">
      <c r="A18" s="49" t="s">
        <v>275</v>
      </c>
      <c r="B18" s="38">
        <v>2108</v>
      </c>
      <c r="C18" s="39" t="s">
        <v>338</v>
      </c>
      <c r="D18" s="39" t="s">
        <v>330</v>
      </c>
      <c r="E18" s="40">
        <v>3.99</v>
      </c>
      <c r="F18" s="41">
        <v>0</v>
      </c>
      <c r="G18" s="42">
        <v>3.99</v>
      </c>
      <c r="H18" s="41">
        <v>6.59</v>
      </c>
      <c r="I18" s="38">
        <v>0</v>
      </c>
    </row>
    <row r="19" spans="1:9" s="14" customFormat="1" ht="17.100000000000001" customHeight="1">
      <c r="A19" s="49" t="s">
        <v>275</v>
      </c>
      <c r="B19" s="38">
        <v>2109</v>
      </c>
      <c r="C19" s="39" t="s">
        <v>373</v>
      </c>
      <c r="D19" s="39" t="s">
        <v>330</v>
      </c>
      <c r="E19" s="40">
        <v>4.3899999999999997</v>
      </c>
      <c r="F19" s="41">
        <v>0</v>
      </c>
      <c r="G19" s="42">
        <v>4.3899999999999997</v>
      </c>
      <c r="H19" s="41">
        <v>12.76</v>
      </c>
      <c r="I19" s="38">
        <v>5</v>
      </c>
    </row>
    <row r="20" spans="1:9" s="14" customFormat="1" ht="17.100000000000001" customHeight="1">
      <c r="A20" s="49" t="s">
        <v>275</v>
      </c>
      <c r="B20" s="38">
        <v>2110</v>
      </c>
      <c r="C20" s="39" t="s">
        <v>374</v>
      </c>
      <c r="D20" s="39" t="s">
        <v>330</v>
      </c>
      <c r="E20" s="40">
        <v>121.19</v>
      </c>
      <c r="F20" s="41">
        <v>0</v>
      </c>
      <c r="G20" s="42">
        <v>121.19</v>
      </c>
      <c r="H20" s="41">
        <v>201.99</v>
      </c>
      <c r="I20" s="38">
        <v>1</v>
      </c>
    </row>
    <row r="21" spans="1:9" s="14" customFormat="1" ht="17.100000000000001" customHeight="1">
      <c r="A21" s="49" t="s">
        <v>277</v>
      </c>
      <c r="B21" s="38">
        <v>2301</v>
      </c>
      <c r="C21" s="39" t="s">
        <v>343</v>
      </c>
      <c r="D21" s="39" t="s">
        <v>233</v>
      </c>
      <c r="E21" s="40">
        <v>22.48</v>
      </c>
      <c r="F21" s="41">
        <v>2.25</v>
      </c>
      <c r="G21" s="42">
        <v>24.73</v>
      </c>
      <c r="H21" s="41">
        <v>29.67</v>
      </c>
      <c r="I21" s="38">
        <v>0</v>
      </c>
    </row>
    <row r="22" spans="1:9" s="14" customFormat="1" ht="17.100000000000001" customHeight="1">
      <c r="A22" s="49" t="s">
        <v>277</v>
      </c>
      <c r="B22" s="38">
        <v>2302</v>
      </c>
      <c r="C22" s="39" t="s">
        <v>357</v>
      </c>
      <c r="D22" s="39" t="s">
        <v>233</v>
      </c>
      <c r="E22" s="40">
        <v>44</v>
      </c>
      <c r="F22" s="41">
        <v>3.96</v>
      </c>
      <c r="G22" s="42">
        <v>40.04</v>
      </c>
      <c r="H22" s="41">
        <v>48.04</v>
      </c>
      <c r="I22" s="38">
        <v>0</v>
      </c>
    </row>
    <row r="23" spans="1:9" s="14" customFormat="1" ht="17.100000000000001" customHeight="1">
      <c r="A23" s="49" t="s">
        <v>278</v>
      </c>
      <c r="B23" s="38">
        <v>2401</v>
      </c>
      <c r="C23" s="39" t="s">
        <v>339</v>
      </c>
      <c r="D23" s="39" t="s">
        <v>330</v>
      </c>
      <c r="E23" s="40">
        <v>46</v>
      </c>
      <c r="F23" s="41">
        <v>0</v>
      </c>
      <c r="G23" s="42">
        <v>46</v>
      </c>
      <c r="H23" s="41">
        <v>71.75</v>
      </c>
      <c r="I23" s="38">
        <v>0</v>
      </c>
    </row>
    <row r="24" spans="1:9" s="14" customFormat="1" ht="17.100000000000001" customHeight="1">
      <c r="A24" s="49" t="s">
        <v>278</v>
      </c>
      <c r="B24" s="38">
        <v>2402</v>
      </c>
      <c r="C24" s="39" t="s">
        <v>340</v>
      </c>
      <c r="D24" s="39" t="s">
        <v>330</v>
      </c>
      <c r="E24" s="40">
        <v>49</v>
      </c>
      <c r="F24" s="41">
        <v>0</v>
      </c>
      <c r="G24" s="42">
        <v>49</v>
      </c>
      <c r="H24" s="41">
        <v>76</v>
      </c>
      <c r="I24" s="38">
        <v>0</v>
      </c>
    </row>
    <row r="25" spans="1:9" s="14" customFormat="1" ht="17.100000000000001" customHeight="1">
      <c r="A25" s="49" t="s">
        <v>278</v>
      </c>
      <c r="B25" s="38">
        <v>2403</v>
      </c>
      <c r="C25" s="39" t="s">
        <v>341</v>
      </c>
      <c r="D25" s="39" t="s">
        <v>233</v>
      </c>
      <c r="E25" s="40">
        <v>201</v>
      </c>
      <c r="F25" s="41">
        <v>18.09</v>
      </c>
      <c r="G25" s="42">
        <v>219.09</v>
      </c>
      <c r="H25" s="41">
        <v>262.89999999999998</v>
      </c>
      <c r="I25" s="38">
        <v>0</v>
      </c>
    </row>
    <row r="26" spans="1:9" s="14" customFormat="1" ht="17.100000000000001" customHeight="1">
      <c r="A26" s="49" t="s">
        <v>278</v>
      </c>
      <c r="B26" s="38">
        <v>2404</v>
      </c>
      <c r="C26" s="39" t="s">
        <v>342</v>
      </c>
      <c r="D26" s="39" t="s">
        <v>330</v>
      </c>
      <c r="E26" s="40">
        <v>17.149999999999999</v>
      </c>
      <c r="F26" s="41">
        <v>0</v>
      </c>
      <c r="G26" s="42">
        <v>17.149999999999999</v>
      </c>
      <c r="H26" s="41">
        <v>25.99</v>
      </c>
      <c r="I26" s="38"/>
    </row>
    <row r="27" spans="1:9" s="14" customFormat="1" ht="17.100000000000001" customHeight="1">
      <c r="A27" s="37" t="s">
        <v>72</v>
      </c>
      <c r="B27" s="38">
        <v>2501</v>
      </c>
      <c r="C27" s="39" t="s">
        <v>45</v>
      </c>
      <c r="D27" s="39" t="s">
        <v>46</v>
      </c>
      <c r="E27" s="40">
        <v>20</v>
      </c>
      <c r="F27" s="41">
        <v>6</v>
      </c>
      <c r="G27" s="42">
        <f>SUM(E27+F27)*I27</f>
        <v>26</v>
      </c>
      <c r="H27" s="41"/>
      <c r="I27" s="38">
        <v>1</v>
      </c>
    </row>
    <row r="28" spans="1:9" s="14" customFormat="1" ht="17.100000000000001" customHeight="1">
      <c r="A28" s="37" t="s">
        <v>72</v>
      </c>
      <c r="B28" s="38">
        <v>2502</v>
      </c>
      <c r="C28" s="39" t="s">
        <v>47</v>
      </c>
      <c r="D28" s="39" t="s">
        <v>48</v>
      </c>
      <c r="E28" s="40">
        <v>30</v>
      </c>
      <c r="F28" s="41">
        <v>0</v>
      </c>
      <c r="G28" s="43">
        <f>SUM(E28+F28)*I28</f>
        <v>30</v>
      </c>
      <c r="H28" s="41"/>
      <c r="I28" s="38">
        <v>1</v>
      </c>
    </row>
    <row r="29" spans="1:9" s="14" customFormat="1" ht="17.100000000000001" customHeight="1">
      <c r="A29" s="44" t="s">
        <v>72</v>
      </c>
      <c r="B29" s="45" t="s">
        <v>217</v>
      </c>
      <c r="C29" s="46" t="s">
        <v>216</v>
      </c>
      <c r="D29" s="46" t="s">
        <v>11</v>
      </c>
      <c r="E29" s="47">
        <v>23.1</v>
      </c>
      <c r="F29" s="48">
        <v>2.75</v>
      </c>
      <c r="G29" s="43">
        <f>SUM(E29+F29)*I29</f>
        <v>0</v>
      </c>
      <c r="H29" s="48">
        <v>35.44</v>
      </c>
      <c r="I29" s="45">
        <v>0</v>
      </c>
    </row>
    <row r="30" spans="1:9" s="14" customFormat="1" ht="17.100000000000001" customHeight="1">
      <c r="A30" s="44" t="s">
        <v>72</v>
      </c>
      <c r="B30" s="38" t="s">
        <v>218</v>
      </c>
      <c r="C30" s="46" t="s">
        <v>215</v>
      </c>
      <c r="D30" s="39" t="s">
        <v>11</v>
      </c>
      <c r="E30" s="40">
        <v>24.2</v>
      </c>
      <c r="F30" s="41">
        <v>2.75</v>
      </c>
      <c r="G30" s="43">
        <f>SUM(E30+F30)*I30</f>
        <v>0</v>
      </c>
      <c r="H30" s="41">
        <v>37.119999999999997</v>
      </c>
      <c r="I30" s="38">
        <v>0</v>
      </c>
    </row>
    <row r="31" spans="1:9" s="14" customFormat="1" ht="17.25" customHeight="1">
      <c r="A31" s="49" t="s">
        <v>279</v>
      </c>
      <c r="B31" s="38">
        <v>2504</v>
      </c>
      <c r="C31" s="38" t="s">
        <v>344</v>
      </c>
      <c r="D31" s="38" t="s">
        <v>330</v>
      </c>
      <c r="E31" s="41">
        <v>13.09</v>
      </c>
      <c r="F31" s="41">
        <v>0</v>
      </c>
      <c r="G31" s="41">
        <v>13.09</v>
      </c>
      <c r="H31" s="41">
        <v>21.95</v>
      </c>
      <c r="I31" s="38">
        <v>0</v>
      </c>
    </row>
    <row r="32" spans="1:9" s="14" customFormat="1" ht="17.100000000000001" customHeight="1">
      <c r="A32" s="49" t="s">
        <v>345</v>
      </c>
      <c r="B32" s="38">
        <v>2601</v>
      </c>
      <c r="C32" s="38" t="s">
        <v>346</v>
      </c>
      <c r="D32" s="38" t="s">
        <v>233</v>
      </c>
      <c r="E32" s="41">
        <v>7.95</v>
      </c>
      <c r="F32" s="41">
        <v>0.71</v>
      </c>
      <c r="G32" s="41">
        <v>8.66</v>
      </c>
      <c r="H32" s="41">
        <v>10.39</v>
      </c>
      <c r="I32" s="38">
        <v>0</v>
      </c>
    </row>
    <row r="33" spans="1:9" s="14" customFormat="1" ht="17.100000000000001" customHeight="1">
      <c r="A33" s="49" t="s">
        <v>345</v>
      </c>
      <c r="B33" s="38">
        <v>2602</v>
      </c>
      <c r="C33" s="38" t="s">
        <v>348</v>
      </c>
      <c r="D33" s="38" t="s">
        <v>330</v>
      </c>
      <c r="E33" s="41">
        <v>47</v>
      </c>
      <c r="F33" s="41">
        <v>0</v>
      </c>
      <c r="G33" s="41">
        <v>47</v>
      </c>
      <c r="H33" s="41">
        <v>77.989999999999995</v>
      </c>
      <c r="I33" s="38">
        <v>0</v>
      </c>
    </row>
    <row r="34" spans="1:9" s="14" customFormat="1" ht="17.100000000000001" customHeight="1">
      <c r="A34" s="49" t="s">
        <v>345</v>
      </c>
      <c r="B34" s="38">
        <v>2603</v>
      </c>
      <c r="C34" s="38" t="s">
        <v>349</v>
      </c>
      <c r="D34" s="38" t="s">
        <v>330</v>
      </c>
      <c r="E34" s="41">
        <v>47</v>
      </c>
      <c r="F34" s="41">
        <v>0</v>
      </c>
      <c r="G34" s="41">
        <v>47</v>
      </c>
      <c r="H34" s="41">
        <v>77.989999999999995</v>
      </c>
      <c r="I34" s="38">
        <v>0</v>
      </c>
    </row>
    <row r="35" spans="1:9" s="14" customFormat="1" ht="17.100000000000001" customHeight="1">
      <c r="A35" s="49" t="s">
        <v>345</v>
      </c>
      <c r="B35" s="38">
        <v>2604</v>
      </c>
      <c r="C35" s="38" t="s">
        <v>354</v>
      </c>
      <c r="D35" s="38" t="s">
        <v>330</v>
      </c>
      <c r="E35" s="41">
        <v>18.59</v>
      </c>
      <c r="F35" s="41">
        <v>0</v>
      </c>
      <c r="G35" s="41">
        <v>18.59</v>
      </c>
      <c r="H35" s="41">
        <v>29.95</v>
      </c>
      <c r="I35" s="38">
        <v>0</v>
      </c>
    </row>
    <row r="36" spans="1:9" s="14" customFormat="1" ht="17.100000000000001" customHeight="1">
      <c r="A36" s="49" t="s">
        <v>345</v>
      </c>
      <c r="B36" s="38">
        <v>2605</v>
      </c>
      <c r="C36" s="38" t="s">
        <v>355</v>
      </c>
      <c r="D36" s="38" t="s">
        <v>330</v>
      </c>
      <c r="E36" s="41">
        <v>67.900000000000006</v>
      </c>
      <c r="F36" s="41">
        <v>0</v>
      </c>
      <c r="G36" s="41">
        <v>67.900000000000006</v>
      </c>
      <c r="H36" s="41">
        <v>97</v>
      </c>
      <c r="I36" s="38">
        <v>0</v>
      </c>
    </row>
    <row r="37" spans="1:9" s="14" customFormat="1" ht="17.100000000000001" customHeight="1">
      <c r="A37" s="49" t="s">
        <v>345</v>
      </c>
      <c r="B37" s="38">
        <v>2606</v>
      </c>
      <c r="C37" s="172" t="s">
        <v>381</v>
      </c>
      <c r="D37" s="38" t="s">
        <v>85</v>
      </c>
      <c r="E37" s="41">
        <v>94.95</v>
      </c>
      <c r="F37" s="41">
        <v>0</v>
      </c>
      <c r="G37" s="41">
        <v>94.95</v>
      </c>
      <c r="H37" s="41">
        <v>113.94</v>
      </c>
      <c r="I37" s="38">
        <v>0</v>
      </c>
    </row>
    <row r="38" spans="1:9" s="14" customFormat="1" ht="17.100000000000001" customHeight="1">
      <c r="A38" s="49" t="s">
        <v>280</v>
      </c>
      <c r="B38" s="38">
        <v>2701</v>
      </c>
      <c r="C38" s="38" t="s">
        <v>353</v>
      </c>
      <c r="D38" s="38" t="s">
        <v>85</v>
      </c>
      <c r="E38" s="41">
        <v>48.99</v>
      </c>
      <c r="F38" s="41">
        <v>6.99</v>
      </c>
      <c r="G38" s="41">
        <v>55.98</v>
      </c>
      <c r="H38" s="41">
        <v>67.17</v>
      </c>
      <c r="I38" s="38">
        <v>0</v>
      </c>
    </row>
    <row r="39" spans="1:9" s="14" customFormat="1" ht="17.100000000000001" customHeight="1">
      <c r="A39" s="49" t="s">
        <v>280</v>
      </c>
      <c r="B39" s="38">
        <v>2702</v>
      </c>
      <c r="C39" s="38" t="s">
        <v>352</v>
      </c>
      <c r="D39" s="38" t="s">
        <v>351</v>
      </c>
      <c r="E39" s="41">
        <v>134.16999999999999</v>
      </c>
      <c r="F39" s="41">
        <v>0</v>
      </c>
      <c r="G39" s="41">
        <v>134.16999999999999</v>
      </c>
      <c r="H39" s="41">
        <v>161</v>
      </c>
      <c r="I39" s="38">
        <v>0</v>
      </c>
    </row>
    <row r="40" spans="1:9" s="14" customFormat="1" ht="17.100000000000001" customHeight="1">
      <c r="A40" s="49" t="s">
        <v>280</v>
      </c>
      <c r="B40" s="38">
        <v>2703</v>
      </c>
      <c r="C40" s="38" t="s">
        <v>356</v>
      </c>
      <c r="D40" s="38" t="s">
        <v>330</v>
      </c>
      <c r="E40" s="41">
        <v>6.92</v>
      </c>
      <c r="F40" s="41">
        <v>1.56</v>
      </c>
      <c r="G40" s="41">
        <v>8.48</v>
      </c>
      <c r="H40" s="41">
        <v>12.29</v>
      </c>
      <c r="I40" s="38">
        <v>3</v>
      </c>
    </row>
    <row r="41" spans="1:9" s="14" customFormat="1" ht="17.100000000000001" customHeight="1">
      <c r="A41" s="49" t="s">
        <v>280</v>
      </c>
      <c r="B41" s="38">
        <v>2704</v>
      </c>
      <c r="C41" s="38" t="s">
        <v>377</v>
      </c>
      <c r="D41" s="38" t="s">
        <v>330</v>
      </c>
      <c r="E41" s="41">
        <v>192.35</v>
      </c>
      <c r="F41" s="41">
        <v>0</v>
      </c>
      <c r="G41" s="41">
        <v>192.35</v>
      </c>
      <c r="H41" s="41">
        <v>230.82</v>
      </c>
      <c r="I41" s="38">
        <v>0</v>
      </c>
    </row>
    <row r="42" spans="1:9" s="14" customFormat="1" ht="17.100000000000001" customHeight="1">
      <c r="A42" s="49" t="s">
        <v>280</v>
      </c>
      <c r="B42" s="38">
        <v>2705</v>
      </c>
      <c r="C42" s="38" t="s">
        <v>379</v>
      </c>
      <c r="D42" s="38" t="s">
        <v>85</v>
      </c>
      <c r="E42" s="41">
        <v>54.99</v>
      </c>
      <c r="F42" s="41">
        <v>0</v>
      </c>
      <c r="G42" s="41">
        <v>54.99</v>
      </c>
      <c r="H42" s="41">
        <v>65.98</v>
      </c>
      <c r="I42" s="38">
        <v>0</v>
      </c>
    </row>
    <row r="43" spans="1:9" s="14" customFormat="1" ht="17.100000000000001" customHeight="1">
      <c r="A43" s="49" t="s">
        <v>280</v>
      </c>
      <c r="B43" s="38">
        <v>2706</v>
      </c>
      <c r="C43" s="38" t="s">
        <v>388</v>
      </c>
      <c r="D43" s="38" t="s">
        <v>351</v>
      </c>
      <c r="E43" s="41">
        <v>165.23</v>
      </c>
      <c r="F43" s="41">
        <v>0</v>
      </c>
      <c r="G43" s="41">
        <v>165.23</v>
      </c>
      <c r="H43" s="41">
        <v>198.27</v>
      </c>
      <c r="I43" s="38">
        <v>0</v>
      </c>
    </row>
    <row r="44" spans="1:9" s="14" customFormat="1" ht="17.100000000000001" customHeight="1">
      <c r="A44" s="49" t="s">
        <v>281</v>
      </c>
      <c r="B44" s="38">
        <v>2801</v>
      </c>
      <c r="C44" s="38" t="s">
        <v>350</v>
      </c>
      <c r="D44" s="38" t="s">
        <v>330</v>
      </c>
      <c r="E44" s="41">
        <v>83.99</v>
      </c>
      <c r="F44" s="41">
        <v>0</v>
      </c>
      <c r="G44" s="41">
        <v>83.99</v>
      </c>
      <c r="H44" s="41">
        <v>139.94999999999999</v>
      </c>
      <c r="I44" s="38">
        <v>0</v>
      </c>
    </row>
    <row r="45" spans="1:9" s="14" customFormat="1" ht="17.100000000000001" customHeight="1">
      <c r="A45" s="49"/>
      <c r="B45" s="50"/>
      <c r="C45" s="167"/>
      <c r="D45" s="167"/>
      <c r="E45" s="168"/>
      <c r="F45" s="168"/>
      <c r="G45" s="168"/>
      <c r="H45" s="168"/>
      <c r="I45" s="167" t="s">
        <v>389</v>
      </c>
    </row>
    <row r="46" spans="1:9" s="14" customFormat="1" ht="17.100000000000001" customHeight="1">
      <c r="A46" s="49"/>
      <c r="B46" s="50"/>
      <c r="C46" s="167"/>
      <c r="D46" s="167"/>
      <c r="E46" s="168"/>
      <c r="F46" s="168"/>
      <c r="G46" s="168"/>
      <c r="H46" s="168"/>
      <c r="I46" s="167"/>
    </row>
    <row r="47" spans="1:9" s="14" customFormat="1" ht="17.100000000000001" customHeight="1">
      <c r="A47" s="49"/>
      <c r="B47" s="50"/>
      <c r="C47" s="167"/>
      <c r="D47" s="167"/>
      <c r="E47" s="168"/>
      <c r="F47" s="168"/>
      <c r="G47" s="168"/>
      <c r="H47" s="168"/>
      <c r="I47" s="167"/>
    </row>
    <row r="48" spans="1:9" s="14" customFormat="1" ht="17.100000000000001" customHeight="1">
      <c r="A48" s="49"/>
      <c r="B48" s="50"/>
      <c r="C48" s="167"/>
      <c r="D48" s="167"/>
      <c r="E48" s="168"/>
      <c r="F48" s="168"/>
      <c r="G48" s="168"/>
      <c r="H48" s="168"/>
      <c r="I48" s="167"/>
    </row>
    <row r="49" spans="1:9" s="14" customFormat="1" ht="17.100000000000001" customHeight="1">
      <c r="A49" s="49"/>
      <c r="B49" s="50"/>
      <c r="C49" s="167"/>
      <c r="D49" s="167"/>
      <c r="E49" s="168"/>
      <c r="F49" s="168"/>
      <c r="G49" s="168"/>
      <c r="H49" s="168"/>
      <c r="I49" s="167"/>
    </row>
    <row r="50" spans="1:9" s="14" customFormat="1" ht="17.100000000000001" customHeight="1">
      <c r="A50" s="49"/>
      <c r="B50" s="50"/>
      <c r="C50" s="167"/>
      <c r="D50" s="167"/>
      <c r="E50" s="168"/>
      <c r="F50" s="168"/>
      <c r="G50" s="168"/>
      <c r="H50" s="168"/>
      <c r="I50" s="167"/>
    </row>
    <row r="51" spans="1:9" s="14" customFormat="1" ht="17.100000000000001" customHeight="1">
      <c r="A51" s="49"/>
      <c r="B51" s="50"/>
      <c r="C51" s="167"/>
      <c r="D51" s="167"/>
      <c r="E51" s="168"/>
      <c r="F51" s="168"/>
      <c r="G51" s="168"/>
      <c r="H51" s="168"/>
      <c r="I51" s="167"/>
    </row>
    <row r="52" spans="1:9" s="14" customFormat="1" ht="17.100000000000001" customHeight="1">
      <c r="A52" s="49"/>
      <c r="B52" s="50"/>
      <c r="C52" s="167"/>
      <c r="D52" s="167"/>
      <c r="E52" s="168"/>
      <c r="F52" s="168"/>
      <c r="G52" s="168"/>
      <c r="H52" s="168"/>
      <c r="I52" s="167"/>
    </row>
    <row r="53" spans="1:9" s="14" customFormat="1" ht="17.100000000000001" customHeight="1">
      <c r="A53" s="49"/>
      <c r="B53" s="50"/>
      <c r="C53" s="167"/>
      <c r="D53" s="167"/>
      <c r="E53" s="168"/>
      <c r="F53" s="168"/>
      <c r="G53" s="168"/>
      <c r="H53" s="168"/>
      <c r="I53" s="167"/>
    </row>
    <row r="54" spans="1:9" s="14" customFormat="1" ht="17.100000000000001" customHeight="1">
      <c r="A54" s="49"/>
      <c r="B54" s="50"/>
      <c r="C54" s="167"/>
      <c r="D54" s="167"/>
      <c r="E54" s="168"/>
      <c r="F54" s="168"/>
      <c r="G54" s="168"/>
      <c r="H54" s="168"/>
      <c r="I54" s="167"/>
    </row>
    <row r="55" spans="1:9" s="14" customFormat="1" ht="17.100000000000001" customHeight="1">
      <c r="A55" s="49"/>
      <c r="B55" s="50"/>
      <c r="C55" s="167"/>
      <c r="D55" s="167"/>
      <c r="E55" s="168"/>
      <c r="F55" s="168"/>
      <c r="G55" s="168"/>
      <c r="H55" s="168"/>
      <c r="I55" s="167"/>
    </row>
    <row r="56" spans="1:9" s="14" customFormat="1" ht="17.100000000000001" customHeight="1">
      <c r="A56" s="49"/>
      <c r="B56" s="50"/>
      <c r="C56" s="167"/>
      <c r="D56" s="167"/>
      <c r="E56" s="168"/>
      <c r="F56" s="168"/>
      <c r="G56" s="168"/>
      <c r="H56" s="168"/>
      <c r="I56" s="167"/>
    </row>
    <row r="57" spans="1:9" s="14" customFormat="1" ht="17.100000000000001" customHeight="1">
      <c r="A57" s="49"/>
      <c r="B57" s="50"/>
      <c r="C57" s="167"/>
      <c r="D57" s="167"/>
      <c r="E57" s="168"/>
      <c r="F57" s="168"/>
      <c r="G57" s="168"/>
      <c r="H57" s="168"/>
      <c r="I57" s="167"/>
    </row>
    <row r="58" spans="1:9" s="14" customFormat="1" ht="17.100000000000001" customHeight="1">
      <c r="A58" s="49"/>
      <c r="B58" s="50"/>
      <c r="C58" s="167"/>
      <c r="D58" s="167"/>
      <c r="E58" s="168"/>
      <c r="F58" s="168"/>
      <c r="G58" s="168"/>
      <c r="H58" s="168"/>
      <c r="I58" s="167"/>
    </row>
    <row r="59" spans="1:9" s="14" customFormat="1" ht="17.100000000000001" customHeight="1">
      <c r="A59" s="49"/>
      <c r="B59" s="50"/>
      <c r="C59" s="167"/>
      <c r="D59" s="167"/>
      <c r="E59" s="168"/>
      <c r="F59" s="168"/>
      <c r="G59" s="168"/>
      <c r="H59" s="168"/>
      <c r="I59" s="167"/>
    </row>
    <row r="60" spans="1:9" s="14" customFormat="1" ht="17.100000000000001" customHeight="1">
      <c r="A60" s="49"/>
      <c r="B60" s="50"/>
      <c r="C60" s="167"/>
      <c r="D60" s="167"/>
      <c r="E60" s="168"/>
      <c r="F60" s="168"/>
      <c r="G60" s="168"/>
      <c r="H60" s="168"/>
      <c r="I60" s="167"/>
    </row>
    <row r="61" spans="1:9" s="14" customFormat="1" ht="17.100000000000001" customHeight="1">
      <c r="A61" s="49"/>
      <c r="B61" s="50"/>
      <c r="C61" s="167"/>
      <c r="D61" s="167"/>
      <c r="E61" s="168"/>
      <c r="F61" s="168"/>
      <c r="G61" s="168"/>
      <c r="H61" s="168"/>
      <c r="I61" s="167"/>
    </row>
    <row r="62" spans="1:9" s="14" customFormat="1" ht="17.100000000000001" customHeight="1">
      <c r="A62" s="49"/>
      <c r="B62" s="50"/>
      <c r="C62" s="167"/>
      <c r="D62" s="167"/>
      <c r="E62" s="168"/>
      <c r="F62" s="168"/>
      <c r="G62" s="168"/>
      <c r="H62" s="168"/>
      <c r="I62" s="167"/>
    </row>
    <row r="63" spans="1:9" s="14" customFormat="1" ht="17.100000000000001" customHeight="1">
      <c r="A63" s="49"/>
      <c r="B63" s="50"/>
      <c r="C63" s="167"/>
      <c r="D63" s="167"/>
      <c r="E63" s="168"/>
      <c r="F63" s="168"/>
      <c r="G63" s="168"/>
      <c r="H63" s="168"/>
      <c r="I63" s="167"/>
    </row>
    <row r="64" spans="1:9" s="14" customFormat="1" ht="17.100000000000001" customHeight="1">
      <c r="A64" s="49"/>
      <c r="B64" s="50"/>
      <c r="C64" s="167"/>
      <c r="D64" s="167"/>
      <c r="E64" s="168"/>
      <c r="F64" s="168"/>
      <c r="G64" s="168"/>
      <c r="H64" s="168"/>
      <c r="I64" s="167"/>
    </row>
    <row r="65" spans="1:9" s="14" customFormat="1" ht="17.100000000000001" customHeight="1">
      <c r="A65" s="49"/>
      <c r="B65" s="50"/>
      <c r="C65" s="167"/>
      <c r="D65" s="167"/>
      <c r="E65" s="168"/>
      <c r="F65" s="168"/>
      <c r="G65" s="168"/>
      <c r="H65" s="168"/>
      <c r="I65" s="167"/>
    </row>
    <row r="66" spans="1:9" s="14" customFormat="1" ht="17.100000000000001" customHeight="1">
      <c r="A66" s="49"/>
      <c r="B66" s="50"/>
      <c r="C66" s="167"/>
      <c r="D66" s="167"/>
      <c r="E66" s="168"/>
      <c r="F66" s="168"/>
      <c r="G66" s="168"/>
      <c r="H66" s="168"/>
      <c r="I66" s="167"/>
    </row>
    <row r="67" spans="1:9" s="14" customFormat="1" ht="17.100000000000001" customHeight="1">
      <c r="A67" s="49"/>
      <c r="B67" s="50"/>
      <c r="C67" s="167"/>
      <c r="D67" s="167"/>
      <c r="E67" s="168"/>
      <c r="F67" s="168"/>
      <c r="G67" s="168"/>
      <c r="H67" s="168"/>
      <c r="I67" s="167"/>
    </row>
    <row r="68" spans="1:9" s="14" customFormat="1" ht="17.100000000000001" customHeight="1">
      <c r="A68" s="49"/>
      <c r="B68" s="50"/>
      <c r="C68" s="50"/>
      <c r="D68" s="50"/>
      <c r="E68" s="169"/>
      <c r="F68" s="169"/>
      <c r="G68" s="169"/>
      <c r="H68" s="169"/>
      <c r="I68" s="50"/>
    </row>
    <row r="69" spans="1:9" s="14" customFormat="1" ht="17.100000000000001" customHeight="1">
      <c r="A69" s="49"/>
      <c r="B69" s="50"/>
      <c r="C69" s="50"/>
      <c r="D69" s="50"/>
      <c r="E69" s="169"/>
      <c r="F69" s="169"/>
      <c r="G69" s="169"/>
      <c r="H69" s="169"/>
      <c r="I69" s="50"/>
    </row>
    <row r="70" spans="1:9" s="14" customFormat="1" ht="17.100000000000001" customHeight="1"/>
    <row r="71" spans="1:9" s="14" customFormat="1" ht="17.100000000000001" customHeight="1"/>
    <row r="72" spans="1:9" s="14" customFormat="1" ht="17.100000000000001" customHeight="1"/>
  </sheetData>
  <mergeCells count="2">
    <mergeCell ref="H1:I1"/>
    <mergeCell ref="E1:F1"/>
  </mergeCells>
  <conditionalFormatting sqref="C5:E30">
    <cfRule type="expression" dxfId="5" priority="2">
      <formula>#REF!=1</formula>
    </cfRule>
  </conditionalFormatting>
  <conditionalFormatting sqref="C5:E30">
    <cfRule type="expression" dxfId="4" priority="1">
      <formula>#REF!="yes"</formula>
    </cfRule>
  </conditionalFormatting>
  <dataValidations count="1">
    <dataValidation type="list" allowBlank="1" showInputMessage="1" showErrorMessage="1" sqref="A6:A10 A15:A26 A31:A69">
      <formula1>Drivetrain</formula1>
    </dataValidation>
  </dataValidations>
  <printOptions horizontalCentered="1" verticalCentered="1"/>
  <pageMargins left="0" right="0" top="0.25" bottom="0.2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2"/>
  <sheetViews>
    <sheetView workbookViewId="0">
      <selection activeCell="C65" sqref="C65"/>
    </sheetView>
  </sheetViews>
  <sheetFormatPr defaultRowHeight="12.75"/>
  <cols>
    <col min="1" max="1" width="22.7109375" style="14" customWidth="1"/>
    <col min="2" max="2" width="7.7109375" style="14" customWidth="1"/>
    <col min="3" max="3" width="41.7109375" style="14" customWidth="1"/>
    <col min="4" max="4" width="11.7109375" style="14" customWidth="1"/>
    <col min="5" max="8" width="10.7109375" style="14" customWidth="1"/>
    <col min="9" max="9" width="7.7109375" style="14" customWidth="1"/>
    <col min="10" max="16384" width="9.140625" style="14"/>
  </cols>
  <sheetData>
    <row r="1" spans="1:9" s="164" customFormat="1" ht="30" customHeight="1">
      <c r="A1" s="163" t="s">
        <v>219</v>
      </c>
      <c r="B1" s="163"/>
      <c r="C1" s="163"/>
      <c r="D1" s="162"/>
      <c r="E1" s="177" t="s">
        <v>220</v>
      </c>
      <c r="F1" s="177"/>
      <c r="G1" s="161" t="s">
        <v>20</v>
      </c>
      <c r="H1" s="176">
        <v>42270</v>
      </c>
      <c r="I1" s="176"/>
    </row>
    <row r="2" spans="1:9" ht="6" customHeight="1">
      <c r="A2" s="154"/>
      <c r="B2" s="155"/>
      <c r="C2" s="155"/>
      <c r="D2" s="155"/>
      <c r="E2" s="156"/>
      <c r="F2" s="157"/>
      <c r="G2" s="157"/>
      <c r="H2" s="157"/>
      <c r="I2" s="155"/>
    </row>
    <row r="3" spans="1:9" ht="9" customHeight="1">
      <c r="A3" s="153"/>
      <c r="B3" s="142"/>
      <c r="C3" s="142"/>
      <c r="D3" s="142"/>
      <c r="E3" s="158"/>
      <c r="F3" s="158"/>
      <c r="G3" s="158"/>
      <c r="H3" s="158"/>
      <c r="I3" s="142"/>
    </row>
    <row r="4" spans="1:9" ht="33" customHeight="1">
      <c r="A4" s="159" t="s">
        <v>8</v>
      </c>
      <c r="B4" s="159" t="s">
        <v>39</v>
      </c>
      <c r="C4" s="159" t="s">
        <v>0</v>
      </c>
      <c r="D4" s="159" t="s">
        <v>1</v>
      </c>
      <c r="E4" s="160" t="s">
        <v>31</v>
      </c>
      <c r="F4" s="160" t="s">
        <v>234</v>
      </c>
      <c r="G4" s="160" t="s">
        <v>40</v>
      </c>
      <c r="H4" s="160" t="s">
        <v>7</v>
      </c>
      <c r="I4" s="159" t="s">
        <v>2</v>
      </c>
    </row>
    <row r="5" spans="1:9" ht="17.100000000000001" customHeight="1">
      <c r="A5" s="97" t="s">
        <v>221</v>
      </c>
      <c r="B5" s="98">
        <v>3001</v>
      </c>
      <c r="C5" s="99" t="s">
        <v>222</v>
      </c>
      <c r="D5" s="99" t="s">
        <v>223</v>
      </c>
      <c r="E5" s="100"/>
      <c r="F5" s="101"/>
      <c r="G5" s="102"/>
      <c r="H5" s="101"/>
      <c r="I5" s="98">
        <v>1</v>
      </c>
    </row>
    <row r="6" spans="1:9" ht="17.100000000000001" customHeight="1">
      <c r="A6" s="97" t="s">
        <v>78</v>
      </c>
      <c r="B6" s="98">
        <v>3101</v>
      </c>
      <c r="C6" s="99" t="s">
        <v>79</v>
      </c>
      <c r="D6" s="99" t="s">
        <v>11</v>
      </c>
      <c r="E6" s="100">
        <v>3.37</v>
      </c>
      <c r="F6" s="101">
        <v>0.55000000000000004</v>
      </c>
      <c r="G6" s="102">
        <f>SUM(E6+F6)*I6</f>
        <v>3.92</v>
      </c>
      <c r="H6" s="101">
        <v>7.3</v>
      </c>
      <c r="I6" s="98">
        <v>1</v>
      </c>
    </row>
    <row r="7" spans="1:9" ht="17.100000000000001" customHeight="1">
      <c r="A7" s="97" t="s">
        <v>283</v>
      </c>
      <c r="B7" s="104">
        <v>3102</v>
      </c>
      <c r="C7" s="111" t="s">
        <v>375</v>
      </c>
      <c r="D7" s="111" t="s">
        <v>330</v>
      </c>
      <c r="E7" s="112">
        <v>41.99</v>
      </c>
      <c r="F7" s="105">
        <v>0</v>
      </c>
      <c r="G7" s="106">
        <v>41.99</v>
      </c>
      <c r="H7" s="105">
        <v>63.95</v>
      </c>
      <c r="I7" s="104"/>
    </row>
    <row r="8" spans="1:9" ht="17.100000000000001" customHeight="1">
      <c r="A8" s="103" t="s">
        <v>30</v>
      </c>
      <c r="B8" s="104">
        <v>3201</v>
      </c>
      <c r="C8" s="104" t="s">
        <v>71</v>
      </c>
      <c r="D8" s="104" t="s">
        <v>11</v>
      </c>
      <c r="E8" s="105">
        <v>12.55</v>
      </c>
      <c r="F8" s="105">
        <v>2.25</v>
      </c>
      <c r="G8" s="106">
        <v>14.8</v>
      </c>
      <c r="H8" s="105">
        <v>2.5099999999999998</v>
      </c>
      <c r="I8" s="104">
        <v>10</v>
      </c>
    </row>
    <row r="9" spans="1:9" ht="17.100000000000001" customHeight="1">
      <c r="A9" s="97" t="s">
        <v>30</v>
      </c>
      <c r="B9" s="98">
        <v>3202</v>
      </c>
      <c r="C9" s="98" t="s">
        <v>89</v>
      </c>
      <c r="D9" s="98" t="s">
        <v>11</v>
      </c>
      <c r="E9" s="101">
        <v>3.75</v>
      </c>
      <c r="F9" s="101">
        <v>2.25</v>
      </c>
      <c r="G9" s="102">
        <f t="shared" ref="G9:G19" si="0">SUM(E9+F9)*I9</f>
        <v>6</v>
      </c>
      <c r="H9" s="101">
        <v>6.79</v>
      </c>
      <c r="I9" s="98">
        <v>1</v>
      </c>
    </row>
    <row r="10" spans="1:9" ht="17.100000000000001" customHeight="1">
      <c r="A10" s="107" t="s">
        <v>34</v>
      </c>
      <c r="B10" s="108">
        <v>3203</v>
      </c>
      <c r="C10" s="108" t="s">
        <v>35</v>
      </c>
      <c r="D10" s="108" t="s">
        <v>33</v>
      </c>
      <c r="E10" s="109">
        <v>2.48</v>
      </c>
      <c r="F10" s="109">
        <v>0.25</v>
      </c>
      <c r="G10" s="110">
        <f t="shared" si="0"/>
        <v>0</v>
      </c>
      <c r="H10" s="109">
        <v>0</v>
      </c>
      <c r="I10" s="108">
        <v>0</v>
      </c>
    </row>
    <row r="11" spans="1:9" ht="17.100000000000001" customHeight="1">
      <c r="A11" s="97" t="s">
        <v>34</v>
      </c>
      <c r="B11" s="98">
        <v>3204</v>
      </c>
      <c r="C11" s="98" t="s">
        <v>41</v>
      </c>
      <c r="D11" s="98" t="s">
        <v>33</v>
      </c>
      <c r="E11" s="101">
        <v>16</v>
      </c>
      <c r="F11" s="101">
        <v>0</v>
      </c>
      <c r="G11" s="102">
        <f t="shared" si="0"/>
        <v>16</v>
      </c>
      <c r="H11" s="101"/>
      <c r="I11" s="98">
        <v>1</v>
      </c>
    </row>
    <row r="12" spans="1:9" ht="17.100000000000001" customHeight="1">
      <c r="A12" s="97" t="s">
        <v>34</v>
      </c>
      <c r="B12" s="104">
        <v>3205</v>
      </c>
      <c r="C12" s="104" t="s">
        <v>235</v>
      </c>
      <c r="D12" s="104" t="s">
        <v>233</v>
      </c>
      <c r="E12" s="105">
        <v>2.48</v>
      </c>
      <c r="F12" s="105">
        <v>0.18</v>
      </c>
      <c r="G12" s="106">
        <f>SUM(E12+F12)</f>
        <v>2.66</v>
      </c>
      <c r="H12" s="105">
        <v>3</v>
      </c>
      <c r="I12" s="104">
        <v>8</v>
      </c>
    </row>
    <row r="13" spans="1:9" ht="17.100000000000001" customHeight="1">
      <c r="A13" s="103" t="s">
        <v>15</v>
      </c>
      <c r="B13" s="104">
        <v>3301</v>
      </c>
      <c r="C13" s="104" t="s">
        <v>16</v>
      </c>
      <c r="D13" s="104" t="s">
        <v>17</v>
      </c>
      <c r="E13" s="105">
        <v>6</v>
      </c>
      <c r="F13" s="105">
        <v>0.45</v>
      </c>
      <c r="G13" s="106">
        <f t="shared" si="0"/>
        <v>70.95</v>
      </c>
      <c r="H13" s="105">
        <v>12</v>
      </c>
      <c r="I13" s="104">
        <v>11</v>
      </c>
    </row>
    <row r="14" spans="1:9" ht="17.100000000000001" customHeight="1">
      <c r="A14" s="97" t="s">
        <v>15</v>
      </c>
      <c r="B14" s="98">
        <v>3302</v>
      </c>
      <c r="C14" s="98" t="s">
        <v>18</v>
      </c>
      <c r="D14" s="98" t="s">
        <v>17</v>
      </c>
      <c r="E14" s="101">
        <v>6</v>
      </c>
      <c r="F14" s="101">
        <v>0.45</v>
      </c>
      <c r="G14" s="102">
        <f t="shared" si="0"/>
        <v>70.95</v>
      </c>
      <c r="H14" s="101">
        <v>12</v>
      </c>
      <c r="I14" s="98">
        <v>11</v>
      </c>
    </row>
    <row r="15" spans="1:9" ht="17.100000000000001" customHeight="1">
      <c r="A15" s="97" t="s">
        <v>15</v>
      </c>
      <c r="B15" s="104">
        <v>3303</v>
      </c>
      <c r="C15" s="104" t="s">
        <v>311</v>
      </c>
      <c r="D15" s="104" t="s">
        <v>17</v>
      </c>
      <c r="E15" s="105">
        <v>6</v>
      </c>
      <c r="F15" s="105">
        <v>0.45</v>
      </c>
      <c r="G15" s="102">
        <v>6.45</v>
      </c>
      <c r="H15" s="105">
        <v>12</v>
      </c>
      <c r="I15" s="104">
        <v>10</v>
      </c>
    </row>
    <row r="16" spans="1:9" ht="17.100000000000001" customHeight="1">
      <c r="A16" s="97" t="s">
        <v>286</v>
      </c>
      <c r="B16" s="104">
        <v>3401</v>
      </c>
      <c r="C16" s="171" t="s">
        <v>380</v>
      </c>
      <c r="D16" s="104" t="s">
        <v>64</v>
      </c>
      <c r="E16" s="105">
        <v>129.97999999999999</v>
      </c>
      <c r="F16" s="105">
        <v>0</v>
      </c>
      <c r="G16" s="106">
        <v>129.97999999999999</v>
      </c>
      <c r="H16" s="105">
        <v>155.97</v>
      </c>
      <c r="I16" s="104">
        <v>0</v>
      </c>
    </row>
    <row r="17" spans="1:9" ht="17.100000000000001" customHeight="1">
      <c r="A17" s="103" t="s">
        <v>224</v>
      </c>
      <c r="B17" s="104">
        <v>3501</v>
      </c>
      <c r="C17" s="111" t="s">
        <v>68</v>
      </c>
      <c r="D17" s="111" t="s">
        <v>21</v>
      </c>
      <c r="E17" s="112">
        <v>42.4</v>
      </c>
      <c r="F17" s="105">
        <v>18.010000000000002</v>
      </c>
      <c r="G17" s="106">
        <f t="shared" si="0"/>
        <v>0</v>
      </c>
      <c r="H17" s="105" t="s">
        <v>327</v>
      </c>
      <c r="I17" s="104">
        <v>0</v>
      </c>
    </row>
    <row r="18" spans="1:9" ht="17.100000000000001" customHeight="1">
      <c r="A18" s="103" t="s">
        <v>224</v>
      </c>
      <c r="B18" s="98">
        <v>3502</v>
      </c>
      <c r="C18" s="99" t="s">
        <v>70</v>
      </c>
      <c r="D18" s="99" t="s">
        <v>11</v>
      </c>
      <c r="E18" s="100">
        <v>33.9</v>
      </c>
      <c r="F18" s="101">
        <v>2.25</v>
      </c>
      <c r="G18" s="102">
        <f t="shared" si="0"/>
        <v>36.15</v>
      </c>
      <c r="H18" s="101">
        <v>49.47</v>
      </c>
      <c r="I18" s="98">
        <v>1</v>
      </c>
    </row>
    <row r="19" spans="1:9" ht="17.100000000000001" customHeight="1">
      <c r="A19" s="103" t="s">
        <v>224</v>
      </c>
      <c r="B19" s="98">
        <v>3503</v>
      </c>
      <c r="C19" s="99" t="s">
        <v>32</v>
      </c>
      <c r="D19" s="99" t="s">
        <v>33</v>
      </c>
      <c r="E19" s="100">
        <v>45.95</v>
      </c>
      <c r="F19" s="101">
        <v>4.5999999999999996</v>
      </c>
      <c r="G19" s="102">
        <f t="shared" si="0"/>
        <v>50.550000000000004</v>
      </c>
      <c r="H19" s="101">
        <v>50.55</v>
      </c>
      <c r="I19" s="98">
        <v>1</v>
      </c>
    </row>
    <row r="20" spans="1:9" ht="17.100000000000001" customHeight="1">
      <c r="A20" s="103" t="s">
        <v>224</v>
      </c>
      <c r="B20" s="104">
        <v>3504</v>
      </c>
      <c r="C20" s="111" t="s">
        <v>94</v>
      </c>
      <c r="D20" s="111" t="s">
        <v>4</v>
      </c>
      <c r="E20" s="112">
        <v>0</v>
      </c>
      <c r="F20" s="105">
        <v>0</v>
      </c>
      <c r="G20" s="106">
        <v>0</v>
      </c>
      <c r="H20" s="105">
        <v>0</v>
      </c>
      <c r="I20" s="104">
        <v>2</v>
      </c>
    </row>
    <row r="21" spans="1:9" ht="17.100000000000001" customHeight="1">
      <c r="A21" s="97" t="s">
        <v>287</v>
      </c>
      <c r="B21" s="104">
        <v>3505</v>
      </c>
      <c r="C21" s="111" t="s">
        <v>360</v>
      </c>
      <c r="D21" s="111" t="s">
        <v>233</v>
      </c>
      <c r="E21" s="112">
        <v>58.95</v>
      </c>
      <c r="F21" s="105">
        <v>1.22</v>
      </c>
      <c r="G21" s="106">
        <v>60.17</v>
      </c>
      <c r="H21" s="105">
        <v>72.2</v>
      </c>
      <c r="I21" s="104">
        <v>1</v>
      </c>
    </row>
    <row r="22" spans="1:9" ht="17.100000000000001" customHeight="1">
      <c r="A22" s="97" t="s">
        <v>287</v>
      </c>
      <c r="B22" s="104">
        <v>3506</v>
      </c>
      <c r="C22" s="111" t="s">
        <v>361</v>
      </c>
      <c r="D22" s="111" t="s">
        <v>233</v>
      </c>
      <c r="E22" s="112">
        <v>58.95</v>
      </c>
      <c r="F22" s="105">
        <v>1.22</v>
      </c>
      <c r="G22" s="106">
        <v>60.17</v>
      </c>
      <c r="H22" s="105">
        <v>72.2</v>
      </c>
      <c r="I22" s="104">
        <v>1</v>
      </c>
    </row>
    <row r="23" spans="1:9" ht="17.100000000000001" customHeight="1">
      <c r="A23" s="97" t="s">
        <v>287</v>
      </c>
      <c r="B23" s="104">
        <v>3507</v>
      </c>
      <c r="C23" s="111" t="s">
        <v>362</v>
      </c>
      <c r="D23" s="111" t="s">
        <v>233</v>
      </c>
      <c r="E23" s="112">
        <v>52.84</v>
      </c>
      <c r="F23" s="105">
        <v>4.75</v>
      </c>
      <c r="G23" s="106">
        <v>57.59</v>
      </c>
      <c r="H23" s="105">
        <v>69.099999999999994</v>
      </c>
      <c r="I23" s="104"/>
    </row>
    <row r="24" spans="1:9" ht="17.100000000000001" customHeight="1">
      <c r="A24" s="97" t="s">
        <v>287</v>
      </c>
      <c r="B24" s="104">
        <v>3508</v>
      </c>
      <c r="C24" s="111" t="s">
        <v>363</v>
      </c>
      <c r="D24" s="111" t="s">
        <v>233</v>
      </c>
      <c r="E24" s="112">
        <v>38.950000000000003</v>
      </c>
      <c r="F24" s="105">
        <v>3.9</v>
      </c>
      <c r="G24" s="106">
        <v>42.85</v>
      </c>
      <c r="H24" s="105">
        <v>51.42</v>
      </c>
      <c r="I24" s="104"/>
    </row>
    <row r="25" spans="1:9" ht="17.100000000000001" customHeight="1">
      <c r="A25" s="103" t="s">
        <v>77</v>
      </c>
      <c r="B25" s="104">
        <v>3601</v>
      </c>
      <c r="C25" s="111" t="s">
        <v>69</v>
      </c>
      <c r="D25" s="111" t="s">
        <v>4</v>
      </c>
      <c r="E25" s="112">
        <v>439.2</v>
      </c>
      <c r="F25" s="105">
        <v>50.8</v>
      </c>
      <c r="G25" s="106">
        <f>SUM(E25+F25)*I25</f>
        <v>490</v>
      </c>
      <c r="H25" s="105">
        <v>490</v>
      </c>
      <c r="I25" s="104">
        <v>1</v>
      </c>
    </row>
    <row r="26" spans="1:9" ht="17.100000000000001" customHeight="1">
      <c r="A26" s="97" t="s">
        <v>77</v>
      </c>
      <c r="B26" s="108">
        <v>3602</v>
      </c>
      <c r="C26" s="113" t="s">
        <v>44</v>
      </c>
      <c r="D26" s="113" t="s">
        <v>64</v>
      </c>
      <c r="E26" s="114">
        <v>20</v>
      </c>
      <c r="F26" s="109">
        <v>0</v>
      </c>
      <c r="G26" s="110">
        <f>SUM(E26+F26)*I26</f>
        <v>0</v>
      </c>
      <c r="H26" s="109">
        <v>20</v>
      </c>
      <c r="I26" s="108">
        <v>0</v>
      </c>
    </row>
    <row r="27" spans="1:9" ht="17.100000000000001" customHeight="1">
      <c r="A27" s="97" t="s">
        <v>77</v>
      </c>
      <c r="B27" s="98">
        <v>3603</v>
      </c>
      <c r="C27" s="99" t="s">
        <v>76</v>
      </c>
      <c r="D27" s="99" t="s">
        <v>11</v>
      </c>
      <c r="E27" s="100">
        <v>11.85</v>
      </c>
      <c r="F27" s="101">
        <v>2.75</v>
      </c>
      <c r="G27" s="102">
        <v>2.92</v>
      </c>
      <c r="H27" s="101">
        <v>5.29</v>
      </c>
      <c r="I27" s="98">
        <v>7</v>
      </c>
    </row>
    <row r="28" spans="1:9" ht="17.100000000000001" customHeight="1">
      <c r="A28" s="103" t="s">
        <v>77</v>
      </c>
      <c r="B28" s="104">
        <v>3604</v>
      </c>
      <c r="C28" s="111" t="s">
        <v>86</v>
      </c>
      <c r="D28" s="111" t="s">
        <v>21</v>
      </c>
      <c r="E28" s="112">
        <v>149</v>
      </c>
      <c r="F28" s="105">
        <v>17.5</v>
      </c>
      <c r="G28" s="106">
        <v>166.5</v>
      </c>
      <c r="H28" s="105">
        <v>200</v>
      </c>
      <c r="I28" s="104">
        <v>1</v>
      </c>
    </row>
    <row r="29" spans="1:9" ht="17.100000000000001" customHeight="1">
      <c r="A29" s="103" t="s">
        <v>77</v>
      </c>
      <c r="B29" s="104">
        <v>3605</v>
      </c>
      <c r="C29" s="111" t="s">
        <v>236</v>
      </c>
      <c r="D29" s="111" t="s">
        <v>233</v>
      </c>
      <c r="E29" s="112">
        <v>1.5</v>
      </c>
      <c r="F29" s="105">
        <v>0.18</v>
      </c>
      <c r="G29" s="106">
        <f>SUM(E29+F29)</f>
        <v>1.68</v>
      </c>
      <c r="H29" s="105">
        <v>1.85</v>
      </c>
      <c r="I29" s="104">
        <v>20</v>
      </c>
    </row>
    <row r="30" spans="1:9" ht="17.100000000000001" customHeight="1">
      <c r="A30" s="103" t="s">
        <v>77</v>
      </c>
      <c r="B30" s="104">
        <v>3606</v>
      </c>
      <c r="C30" s="111" t="s">
        <v>358</v>
      </c>
      <c r="D30" s="111" t="s">
        <v>330</v>
      </c>
      <c r="E30" s="112">
        <v>27.26</v>
      </c>
      <c r="F30" s="105">
        <v>0</v>
      </c>
      <c r="G30" s="106">
        <v>27.26</v>
      </c>
      <c r="H30" s="105">
        <v>4.79</v>
      </c>
      <c r="I30" s="104"/>
    </row>
    <row r="31" spans="1:9" ht="17.100000000000001" customHeight="1">
      <c r="A31" s="97" t="s">
        <v>290</v>
      </c>
      <c r="B31" s="104">
        <v>3607</v>
      </c>
      <c r="C31" s="111" t="s">
        <v>359</v>
      </c>
      <c r="D31" s="111" t="s">
        <v>4</v>
      </c>
      <c r="E31" s="112">
        <v>423.2</v>
      </c>
      <c r="F31" s="105">
        <v>35</v>
      </c>
      <c r="G31" s="106">
        <v>458.2</v>
      </c>
      <c r="H31" s="105">
        <v>460</v>
      </c>
      <c r="I31" s="104">
        <v>1</v>
      </c>
    </row>
    <row r="32" spans="1:9" ht="17.100000000000001" customHeight="1">
      <c r="A32" s="103" t="s">
        <v>9</v>
      </c>
      <c r="B32" s="104">
        <v>3701</v>
      </c>
      <c r="C32" s="104" t="s">
        <v>3</v>
      </c>
      <c r="D32" s="104" t="s">
        <v>326</v>
      </c>
      <c r="E32" s="105">
        <v>289.25</v>
      </c>
      <c r="F32" s="105">
        <v>4.4400000000000004</v>
      </c>
      <c r="G32" s="106">
        <f t="shared" ref="G32:G36" si="1">SUM(E32+F32)*I32</f>
        <v>0</v>
      </c>
      <c r="H32" s="105">
        <v>450</v>
      </c>
      <c r="I32" s="104">
        <v>0</v>
      </c>
    </row>
    <row r="33" spans="1:9" ht="17.100000000000001" customHeight="1">
      <c r="A33" s="103" t="s">
        <v>9</v>
      </c>
      <c r="B33" s="104">
        <v>3701</v>
      </c>
      <c r="C33" s="104" t="s">
        <v>3</v>
      </c>
      <c r="D33" s="104" t="s">
        <v>4</v>
      </c>
      <c r="E33" s="105">
        <v>289.25</v>
      </c>
      <c r="F33" s="105">
        <v>12.5</v>
      </c>
      <c r="G33" s="106">
        <v>301.75</v>
      </c>
      <c r="H33" s="105">
        <v>450</v>
      </c>
      <c r="I33" s="104">
        <v>2</v>
      </c>
    </row>
    <row r="34" spans="1:9" ht="17.100000000000001" customHeight="1">
      <c r="A34" s="97" t="s">
        <v>9</v>
      </c>
      <c r="B34" s="98">
        <v>3702</v>
      </c>
      <c r="C34" s="98" t="s">
        <v>13</v>
      </c>
      <c r="D34" s="98" t="s">
        <v>14</v>
      </c>
      <c r="E34" s="101">
        <v>459</v>
      </c>
      <c r="F34" s="101">
        <v>0</v>
      </c>
      <c r="G34" s="102">
        <f t="shared" si="1"/>
        <v>459</v>
      </c>
      <c r="H34" s="101">
        <v>450</v>
      </c>
      <c r="I34" s="98">
        <v>1</v>
      </c>
    </row>
    <row r="35" spans="1:9" ht="17.100000000000001" customHeight="1">
      <c r="A35" s="97" t="s">
        <v>288</v>
      </c>
      <c r="B35" s="104">
        <v>3703</v>
      </c>
      <c r="C35" s="104" t="s">
        <v>364</v>
      </c>
      <c r="D35" s="104" t="s">
        <v>325</v>
      </c>
      <c r="E35" s="105">
        <v>160</v>
      </c>
      <c r="F35" s="105">
        <v>0</v>
      </c>
      <c r="G35" s="106">
        <v>160</v>
      </c>
      <c r="H35" s="105">
        <v>200</v>
      </c>
      <c r="I35" s="104">
        <v>4</v>
      </c>
    </row>
    <row r="36" spans="1:9" ht="17.100000000000001" customHeight="1">
      <c r="A36" s="103" t="s">
        <v>22</v>
      </c>
      <c r="B36" s="104">
        <v>3801</v>
      </c>
      <c r="C36" s="111" t="s">
        <v>23</v>
      </c>
      <c r="D36" s="111" t="s">
        <v>24</v>
      </c>
      <c r="E36" s="112">
        <v>17.5</v>
      </c>
      <c r="F36" s="105">
        <v>4.4400000000000004</v>
      </c>
      <c r="G36" s="106">
        <f t="shared" si="1"/>
        <v>21.94</v>
      </c>
      <c r="H36" s="105">
        <v>42.5</v>
      </c>
      <c r="I36" s="104">
        <v>1</v>
      </c>
    </row>
    <row r="37" spans="1:9" ht="17.100000000000001" customHeight="1">
      <c r="A37" s="97" t="s">
        <v>22</v>
      </c>
      <c r="B37" s="98">
        <v>3802</v>
      </c>
      <c r="C37" s="99" t="s">
        <v>25</v>
      </c>
      <c r="D37" s="99" t="s">
        <v>24</v>
      </c>
      <c r="E37" s="100">
        <v>17.5</v>
      </c>
      <c r="F37" s="101">
        <v>4.4400000000000004</v>
      </c>
      <c r="G37" s="102">
        <f t="shared" ref="G37" si="2">SUM(E37+F37)*I37</f>
        <v>21.94</v>
      </c>
      <c r="H37" s="101">
        <v>42.5</v>
      </c>
      <c r="I37" s="98">
        <v>1</v>
      </c>
    </row>
    <row r="38" spans="1:9" ht="17.100000000000001" customHeight="1">
      <c r="A38" s="97" t="s">
        <v>22</v>
      </c>
      <c r="B38" s="98">
        <v>3803</v>
      </c>
      <c r="C38" s="99" t="s">
        <v>26</v>
      </c>
      <c r="D38" s="99" t="s">
        <v>24</v>
      </c>
      <c r="E38" s="100">
        <v>17.5</v>
      </c>
      <c r="F38" s="101">
        <v>4.4400000000000004</v>
      </c>
      <c r="G38" s="102">
        <f t="shared" ref="G38:G39" si="3">SUM(E38+F38)*I38</f>
        <v>21.94</v>
      </c>
      <c r="H38" s="101">
        <v>42.5</v>
      </c>
      <c r="I38" s="98">
        <v>1</v>
      </c>
    </row>
    <row r="39" spans="1:9" ht="17.100000000000001" customHeight="1">
      <c r="A39" s="97" t="s">
        <v>22</v>
      </c>
      <c r="B39" s="98">
        <v>3804</v>
      </c>
      <c r="C39" s="99" t="s">
        <v>42</v>
      </c>
      <c r="D39" s="99" t="s">
        <v>64</v>
      </c>
      <c r="E39" s="100">
        <v>3</v>
      </c>
      <c r="F39" s="101">
        <v>2</v>
      </c>
      <c r="G39" s="102">
        <f t="shared" si="3"/>
        <v>15</v>
      </c>
      <c r="H39" s="101"/>
      <c r="I39" s="98">
        <v>3</v>
      </c>
    </row>
    <row r="40" spans="1:9" ht="17.100000000000001" customHeight="1">
      <c r="A40" s="97" t="s">
        <v>22</v>
      </c>
      <c r="B40" s="98">
        <v>3805</v>
      </c>
      <c r="C40" s="99" t="s">
        <v>43</v>
      </c>
      <c r="D40" s="99" t="s">
        <v>64</v>
      </c>
      <c r="E40" s="100">
        <v>2.25</v>
      </c>
      <c r="F40" s="101">
        <v>2</v>
      </c>
      <c r="G40" s="102">
        <f t="shared" ref="G40" si="4">SUM(E40+F40)*I40</f>
        <v>42.5</v>
      </c>
      <c r="H40" s="101"/>
      <c r="I40" s="98">
        <v>10</v>
      </c>
    </row>
    <row r="41" spans="1:9" ht="17.100000000000001" customHeight="1">
      <c r="A41" s="97" t="s">
        <v>289</v>
      </c>
      <c r="B41" s="98">
        <v>3806</v>
      </c>
      <c r="C41" s="99" t="s">
        <v>329</v>
      </c>
      <c r="D41" s="99" t="s">
        <v>330</v>
      </c>
      <c r="E41" s="100">
        <v>23.67</v>
      </c>
      <c r="F41" s="101">
        <v>0</v>
      </c>
      <c r="G41" s="102">
        <v>23.67</v>
      </c>
      <c r="H41" s="101">
        <v>36.99</v>
      </c>
      <c r="I41" s="98">
        <v>0</v>
      </c>
    </row>
    <row r="42" spans="1:9" ht="17.100000000000001" customHeight="1">
      <c r="A42" s="97" t="s">
        <v>289</v>
      </c>
      <c r="B42" s="98">
        <v>3807</v>
      </c>
      <c r="C42" s="99" t="s">
        <v>331</v>
      </c>
      <c r="D42" s="99" t="s">
        <v>330</v>
      </c>
      <c r="E42" s="100">
        <v>23.01</v>
      </c>
      <c r="F42" s="101">
        <v>0</v>
      </c>
      <c r="G42" s="102">
        <v>23.01</v>
      </c>
      <c r="H42" s="101">
        <v>35.950000000000003</v>
      </c>
      <c r="I42" s="98">
        <v>0</v>
      </c>
    </row>
    <row r="43" spans="1:9" s="13" customFormat="1" ht="17.100000000000001" customHeight="1">
      <c r="A43" s="97" t="s">
        <v>289</v>
      </c>
      <c r="B43" s="98">
        <v>3808</v>
      </c>
      <c r="C43" s="98" t="s">
        <v>382</v>
      </c>
      <c r="D43" s="98" t="s">
        <v>64</v>
      </c>
      <c r="E43" s="101">
        <v>11.73</v>
      </c>
      <c r="F43" s="101">
        <v>0</v>
      </c>
      <c r="G43" s="101">
        <v>11.73</v>
      </c>
      <c r="H43" s="101">
        <v>14.07</v>
      </c>
      <c r="I43" s="98">
        <v>1</v>
      </c>
    </row>
    <row r="44" spans="1:9" ht="17.100000000000001" customHeight="1">
      <c r="A44" s="97"/>
      <c r="B44" s="166"/>
      <c r="C44" s="166"/>
      <c r="D44" s="166"/>
      <c r="E44" s="166"/>
      <c r="F44" s="166"/>
      <c r="G44" s="166"/>
      <c r="H44" s="166"/>
      <c r="I44" s="166"/>
    </row>
    <row r="45" spans="1:9" ht="17.100000000000001" customHeight="1">
      <c r="A45" s="97"/>
      <c r="B45" s="166"/>
      <c r="C45" s="166"/>
      <c r="D45" s="166"/>
      <c r="E45" s="166"/>
      <c r="F45" s="166"/>
      <c r="G45" s="166"/>
      <c r="H45" s="166"/>
      <c r="I45" s="166"/>
    </row>
    <row r="46" spans="1:9" ht="17.100000000000001" customHeight="1">
      <c r="A46" s="97"/>
      <c r="B46" s="166"/>
      <c r="C46" s="166"/>
      <c r="D46" s="166"/>
      <c r="E46" s="166"/>
      <c r="F46" s="166"/>
      <c r="G46" s="166"/>
      <c r="H46" s="166"/>
      <c r="I46" s="166"/>
    </row>
    <row r="47" spans="1:9" ht="17.100000000000001" customHeight="1">
      <c r="A47" s="97"/>
      <c r="B47" s="166"/>
      <c r="C47" s="166"/>
      <c r="D47" s="166"/>
      <c r="E47" s="166"/>
      <c r="F47" s="166"/>
      <c r="G47" s="166"/>
      <c r="H47" s="166"/>
      <c r="I47" s="166"/>
    </row>
    <row r="48" spans="1:9" ht="17.100000000000001" customHeight="1">
      <c r="A48" s="97"/>
      <c r="B48" s="166"/>
      <c r="C48" s="166"/>
      <c r="D48" s="166"/>
      <c r="E48" s="166"/>
      <c r="F48" s="166"/>
      <c r="G48" s="166"/>
      <c r="H48" s="166"/>
      <c r="I48" s="166"/>
    </row>
    <row r="49" spans="1:9" ht="17.100000000000001" customHeight="1">
      <c r="A49" s="97"/>
      <c r="B49" s="166"/>
      <c r="C49" s="166"/>
      <c r="D49" s="166"/>
      <c r="E49" s="166"/>
      <c r="F49" s="166"/>
      <c r="G49" s="166"/>
      <c r="H49" s="166"/>
      <c r="I49" s="166"/>
    </row>
    <row r="50" spans="1:9" ht="17.100000000000001" customHeight="1">
      <c r="A50" s="97"/>
      <c r="B50" s="166"/>
      <c r="C50" s="166"/>
      <c r="D50" s="166"/>
      <c r="E50" s="166"/>
      <c r="F50" s="166"/>
      <c r="G50" s="166"/>
      <c r="H50" s="166"/>
      <c r="I50" s="166"/>
    </row>
    <row r="51" spans="1:9" ht="17.100000000000001" customHeight="1">
      <c r="A51" s="97"/>
      <c r="B51" s="166"/>
      <c r="C51" s="166"/>
      <c r="D51" s="166"/>
      <c r="E51" s="166"/>
      <c r="F51" s="166"/>
      <c r="G51" s="166"/>
      <c r="H51" s="166"/>
      <c r="I51" s="166"/>
    </row>
    <row r="52" spans="1:9" ht="17.100000000000001" customHeight="1">
      <c r="A52" s="97"/>
      <c r="B52" s="166"/>
      <c r="C52" s="166"/>
      <c r="D52" s="166"/>
      <c r="E52" s="166"/>
      <c r="F52" s="166"/>
      <c r="G52" s="166"/>
      <c r="H52" s="166"/>
      <c r="I52" s="166"/>
    </row>
    <row r="53" spans="1:9" ht="17.100000000000001" customHeight="1">
      <c r="A53" s="97"/>
      <c r="B53" s="166"/>
      <c r="C53" s="166"/>
      <c r="D53" s="166"/>
      <c r="E53" s="166"/>
      <c r="F53" s="166"/>
      <c r="G53" s="166"/>
      <c r="H53" s="166"/>
      <c r="I53" s="166"/>
    </row>
    <row r="54" spans="1:9" ht="17.100000000000001" customHeight="1">
      <c r="A54" s="97"/>
      <c r="B54" s="166"/>
      <c r="C54" s="166"/>
      <c r="D54" s="166"/>
      <c r="E54" s="166"/>
      <c r="F54" s="166"/>
      <c r="G54" s="166"/>
      <c r="H54" s="166"/>
      <c r="I54" s="166"/>
    </row>
    <row r="55" spans="1:9" ht="17.100000000000001" customHeight="1">
      <c r="A55" s="97"/>
      <c r="B55" s="166"/>
      <c r="C55" s="166"/>
      <c r="D55" s="166"/>
      <c r="E55" s="166"/>
      <c r="F55" s="166"/>
      <c r="G55" s="166"/>
      <c r="H55" s="166"/>
      <c r="I55" s="166"/>
    </row>
    <row r="56" spans="1:9" ht="17.100000000000001" customHeight="1">
      <c r="A56" s="97"/>
      <c r="B56" s="166"/>
      <c r="C56" s="166"/>
      <c r="D56" s="166"/>
      <c r="E56" s="166"/>
      <c r="F56" s="166"/>
      <c r="G56" s="166"/>
      <c r="H56" s="166"/>
      <c r="I56" s="166"/>
    </row>
    <row r="57" spans="1:9" ht="17.100000000000001" customHeight="1">
      <c r="A57" s="97"/>
      <c r="B57" s="166"/>
      <c r="C57" s="166"/>
      <c r="D57" s="166"/>
      <c r="E57" s="166"/>
      <c r="F57" s="166"/>
      <c r="G57" s="166"/>
      <c r="H57" s="166"/>
      <c r="I57" s="166"/>
    </row>
    <row r="58" spans="1:9" ht="17.100000000000001" customHeight="1">
      <c r="A58" s="97"/>
      <c r="B58" s="166"/>
      <c r="C58" s="166"/>
      <c r="D58" s="166"/>
      <c r="E58" s="166"/>
      <c r="F58" s="166"/>
      <c r="G58" s="166"/>
      <c r="H58" s="166"/>
      <c r="I58" s="166"/>
    </row>
    <row r="59" spans="1:9" ht="17.100000000000001" customHeight="1">
      <c r="A59" s="97"/>
      <c r="B59" s="166"/>
      <c r="C59" s="166"/>
      <c r="D59" s="166"/>
      <c r="E59" s="166"/>
      <c r="F59" s="166"/>
      <c r="G59" s="166"/>
      <c r="H59" s="166"/>
      <c r="I59" s="166"/>
    </row>
    <row r="60" spans="1:9" ht="17.100000000000001" customHeight="1">
      <c r="A60" s="97"/>
      <c r="B60" s="166"/>
      <c r="C60" s="166"/>
      <c r="D60" s="166"/>
      <c r="E60" s="166"/>
      <c r="F60" s="166"/>
      <c r="G60" s="166"/>
      <c r="H60" s="166"/>
      <c r="I60" s="166"/>
    </row>
    <row r="61" spans="1:9" ht="17.100000000000001" customHeight="1">
      <c r="A61" s="97"/>
      <c r="B61" s="166"/>
      <c r="C61" s="166"/>
      <c r="D61" s="166"/>
      <c r="E61" s="166"/>
      <c r="F61" s="166"/>
      <c r="G61" s="166"/>
      <c r="H61" s="166"/>
      <c r="I61" s="166"/>
    </row>
    <row r="62" spans="1:9" ht="17.100000000000001" customHeight="1">
      <c r="A62" s="97"/>
      <c r="B62" s="166"/>
      <c r="C62" s="166"/>
      <c r="D62" s="166"/>
      <c r="E62" s="166"/>
      <c r="F62" s="166"/>
      <c r="G62" s="166"/>
      <c r="H62" s="166"/>
      <c r="I62" s="166"/>
    </row>
    <row r="63" spans="1:9" ht="17.100000000000001" customHeight="1">
      <c r="A63" s="97"/>
      <c r="B63" s="166"/>
      <c r="C63" s="166"/>
      <c r="D63" s="166"/>
      <c r="E63" s="166"/>
      <c r="F63" s="166"/>
      <c r="G63" s="166"/>
      <c r="H63" s="166"/>
      <c r="I63" s="166"/>
    </row>
    <row r="64" spans="1:9" ht="17.100000000000001" customHeight="1">
      <c r="A64" s="97"/>
      <c r="B64" s="166"/>
      <c r="C64" s="166"/>
      <c r="D64" s="166"/>
      <c r="E64" s="166"/>
      <c r="F64" s="166"/>
      <c r="G64" s="166"/>
      <c r="H64" s="166"/>
      <c r="I64" s="166"/>
    </row>
    <row r="65" spans="1:9" ht="17.100000000000001" customHeight="1">
      <c r="A65" s="97"/>
      <c r="B65" s="166"/>
      <c r="C65" s="166"/>
      <c r="D65" s="166"/>
      <c r="E65" s="166"/>
      <c r="F65" s="166"/>
      <c r="G65" s="166"/>
      <c r="H65" s="166"/>
      <c r="I65" s="166"/>
    </row>
    <row r="66" spans="1:9" ht="17.100000000000001" customHeight="1">
      <c r="A66" s="97"/>
      <c r="B66" s="166"/>
      <c r="C66" s="166"/>
      <c r="D66" s="166"/>
      <c r="E66" s="166"/>
      <c r="F66" s="166"/>
      <c r="G66" s="166"/>
      <c r="H66" s="166"/>
      <c r="I66" s="166"/>
    </row>
    <row r="67" spans="1:9" ht="17.100000000000001" customHeight="1">
      <c r="A67" s="97"/>
      <c r="B67" s="166"/>
      <c r="C67" s="166"/>
      <c r="D67" s="166"/>
      <c r="E67" s="166"/>
      <c r="F67" s="166"/>
      <c r="G67" s="166"/>
      <c r="H67" s="166"/>
      <c r="I67" s="166"/>
    </row>
    <row r="68" spans="1:9" ht="17.100000000000001" customHeight="1">
      <c r="A68" s="97"/>
      <c r="B68" s="166"/>
      <c r="C68" s="166"/>
      <c r="D68" s="166"/>
      <c r="E68" s="166"/>
      <c r="F68" s="166"/>
      <c r="G68" s="166"/>
      <c r="H68" s="166"/>
      <c r="I68" s="166"/>
    </row>
    <row r="69" spans="1:9" ht="17.100000000000001" customHeight="1"/>
    <row r="70" spans="1:9" ht="17.100000000000001" customHeight="1"/>
    <row r="71" spans="1:9" ht="17.100000000000001" customHeight="1"/>
    <row r="72" spans="1:9" ht="17.100000000000001" customHeight="1"/>
    <row r="73" spans="1:9" ht="17.100000000000001" customHeight="1"/>
    <row r="74" spans="1:9" ht="17.100000000000001" customHeight="1"/>
    <row r="75" spans="1:9" ht="17.100000000000001" customHeight="1"/>
    <row r="76" spans="1:9" ht="17.100000000000001" customHeight="1"/>
    <row r="77" spans="1:9" ht="17.100000000000001" customHeight="1"/>
    <row r="78" spans="1:9" ht="17.100000000000001" customHeight="1"/>
    <row r="79" spans="1:9" ht="17.100000000000001" customHeight="1"/>
    <row r="80" spans="1:9" ht="17.100000000000001" customHeight="1"/>
    <row r="81" ht="17.100000000000001" customHeight="1"/>
    <row r="82" ht="17.100000000000001" customHeight="1"/>
    <row r="83" ht="17.100000000000001" customHeight="1"/>
    <row r="84" ht="17.100000000000001" customHeight="1"/>
    <row r="85" ht="17.100000000000001" customHeight="1"/>
    <row r="86" ht="17.100000000000001" customHeight="1"/>
    <row r="87" ht="17.100000000000001" customHeight="1"/>
    <row r="88" ht="17.100000000000001" customHeight="1"/>
    <row r="89" ht="17.100000000000001" customHeight="1"/>
    <row r="90" ht="17.100000000000001" customHeight="1"/>
    <row r="91" ht="17.100000000000001" customHeight="1"/>
    <row r="92" ht="17.100000000000001" customHeight="1"/>
  </sheetData>
  <mergeCells count="2">
    <mergeCell ref="H1:I1"/>
    <mergeCell ref="E1:F1"/>
  </mergeCells>
  <conditionalFormatting sqref="C36:E42 C5:E7 C17:E31">
    <cfRule type="expression" dxfId="3" priority="10">
      <formula>#REF!=1</formula>
    </cfRule>
  </conditionalFormatting>
  <conditionalFormatting sqref="C36:E42 C5:E7 C17:E31">
    <cfRule type="expression" dxfId="2" priority="9">
      <formula>#REF!="yes"</formula>
    </cfRule>
  </conditionalFormatting>
  <dataValidations count="1">
    <dataValidation type="list" allowBlank="1" showInputMessage="1" showErrorMessage="1" sqref="A41:A68 A35 A31 A21:A24 A7 A16">
      <formula1>Fuel</formula1>
    </dataValidation>
  </dataValidations>
  <printOptions horizontalCentered="1" verticalCentered="1"/>
  <pageMargins left="0" right="0" top="0.25" bottom="0.2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>
      <selection activeCell="A2" sqref="A2"/>
    </sheetView>
  </sheetViews>
  <sheetFormatPr defaultRowHeight="15"/>
  <cols>
    <col min="1" max="1" width="22.7109375" customWidth="1"/>
    <col min="2" max="2" width="7.7109375" customWidth="1"/>
    <col min="3" max="3" width="41.7109375" customWidth="1"/>
    <col min="4" max="4" width="11.7109375" customWidth="1"/>
    <col min="5" max="8" width="10.7109375" customWidth="1"/>
    <col min="9" max="9" width="7.7109375" customWidth="1"/>
  </cols>
  <sheetData>
    <row r="1" spans="1:9" ht="30" customHeight="1">
      <c r="A1" s="6" t="s">
        <v>376</v>
      </c>
      <c r="B1" s="6"/>
      <c r="C1" s="6"/>
      <c r="D1" s="2"/>
      <c r="E1" s="178" t="s">
        <v>225</v>
      </c>
      <c r="F1" s="178"/>
      <c r="G1" s="96" t="s">
        <v>20</v>
      </c>
      <c r="H1" s="176">
        <v>42270</v>
      </c>
      <c r="I1" s="176"/>
    </row>
    <row r="2" spans="1:9" ht="6" customHeight="1">
      <c r="A2" s="9"/>
      <c r="B2" s="10"/>
      <c r="C2" s="10"/>
      <c r="D2" s="10"/>
      <c r="E2" s="11"/>
      <c r="F2" s="12"/>
      <c r="G2" s="12"/>
      <c r="H2" s="12"/>
      <c r="I2" s="10"/>
    </row>
    <row r="3" spans="1:9" ht="9" customHeight="1">
      <c r="A3" s="8"/>
      <c r="B3" s="2"/>
      <c r="C3" s="2"/>
      <c r="D3" s="2"/>
      <c r="E3" s="3"/>
      <c r="F3" s="3"/>
      <c r="G3" s="3"/>
      <c r="H3" s="3"/>
      <c r="I3" s="2"/>
    </row>
    <row r="4" spans="1:9" s="13" customFormat="1" ht="33" customHeight="1">
      <c r="A4" s="4" t="s">
        <v>8</v>
      </c>
      <c r="B4" s="4" t="s">
        <v>39</v>
      </c>
      <c r="C4" s="4" t="s">
        <v>0</v>
      </c>
      <c r="D4" s="4" t="s">
        <v>1</v>
      </c>
      <c r="E4" s="5" t="s">
        <v>31</v>
      </c>
      <c r="F4" s="7" t="s">
        <v>27</v>
      </c>
      <c r="G4" s="5" t="s">
        <v>40</v>
      </c>
      <c r="H4" s="5" t="s">
        <v>7</v>
      </c>
      <c r="I4" s="4" t="s">
        <v>2</v>
      </c>
    </row>
    <row r="5" spans="1:9" s="13" customFormat="1" ht="17.100000000000001" customHeight="1">
      <c r="A5" s="35" t="s">
        <v>293</v>
      </c>
      <c r="B5" s="32">
        <v>4001</v>
      </c>
      <c r="C5" s="32" t="s">
        <v>365</v>
      </c>
      <c r="D5" s="32" t="s">
        <v>233</v>
      </c>
      <c r="E5" s="33">
        <v>153.6</v>
      </c>
      <c r="F5" s="33">
        <v>13.82</v>
      </c>
      <c r="G5" s="34">
        <v>167.42</v>
      </c>
      <c r="H5" s="33">
        <v>200.9</v>
      </c>
      <c r="I5" s="32">
        <v>1</v>
      </c>
    </row>
    <row r="6" spans="1:9" s="13" customFormat="1" ht="17.100000000000001" customHeight="1">
      <c r="A6" s="35" t="s">
        <v>294</v>
      </c>
      <c r="B6" s="32">
        <v>4101</v>
      </c>
      <c r="C6" s="32" t="s">
        <v>366</v>
      </c>
      <c r="D6" s="32" t="s">
        <v>330</v>
      </c>
      <c r="E6" s="33">
        <v>109.19</v>
      </c>
      <c r="F6" s="33">
        <v>0</v>
      </c>
      <c r="G6" s="34">
        <v>109.19</v>
      </c>
      <c r="H6" s="33">
        <v>156.94999999999999</v>
      </c>
      <c r="I6" s="32">
        <v>0</v>
      </c>
    </row>
    <row r="7" spans="1:9" s="13" customFormat="1" ht="17.100000000000001" customHeight="1">
      <c r="A7" s="31" t="s">
        <v>50</v>
      </c>
      <c r="B7" s="32">
        <v>4301</v>
      </c>
      <c r="C7" s="32" t="s">
        <v>51</v>
      </c>
      <c r="D7" s="32" t="s">
        <v>64</v>
      </c>
      <c r="E7" s="33">
        <v>14</v>
      </c>
      <c r="F7" s="33">
        <v>0</v>
      </c>
      <c r="G7" s="34">
        <f>SUM(E7+F7)*I7</f>
        <v>14</v>
      </c>
      <c r="H7" s="33">
        <v>14</v>
      </c>
      <c r="I7" s="32">
        <v>1</v>
      </c>
    </row>
    <row r="8" spans="1:9" s="13" customFormat="1" ht="17.100000000000001" customHeight="1">
      <c r="A8" s="35"/>
      <c r="B8" s="32"/>
      <c r="C8" s="32"/>
      <c r="D8" s="32"/>
      <c r="E8" s="33"/>
      <c r="F8" s="33"/>
      <c r="G8" s="33"/>
      <c r="H8" s="33"/>
      <c r="I8" s="32"/>
    </row>
    <row r="9" spans="1:9" s="13" customFormat="1" ht="17.100000000000001" customHeight="1">
      <c r="A9" s="35"/>
      <c r="B9" s="32"/>
      <c r="C9" s="32"/>
      <c r="D9" s="32"/>
      <c r="E9" s="33"/>
      <c r="F9" s="33"/>
      <c r="G9" s="33"/>
      <c r="H9" s="33"/>
      <c r="I9" s="32"/>
    </row>
    <row r="10" spans="1:9" s="13" customFormat="1" ht="17.100000000000001" customHeight="1">
      <c r="A10" s="35"/>
      <c r="B10" s="36"/>
      <c r="C10" s="36"/>
      <c r="D10" s="36"/>
      <c r="E10" s="36"/>
      <c r="F10" s="36"/>
      <c r="G10" s="36"/>
      <c r="H10" s="36"/>
      <c r="I10" s="36"/>
    </row>
    <row r="11" spans="1:9" s="13" customFormat="1" ht="17.100000000000001" customHeight="1">
      <c r="A11" s="35"/>
      <c r="B11" s="36"/>
      <c r="C11" s="36"/>
      <c r="D11" s="36"/>
      <c r="E11" s="36"/>
      <c r="F11" s="36"/>
      <c r="G11" s="36"/>
      <c r="H11" s="36"/>
      <c r="I11" s="36"/>
    </row>
    <row r="12" spans="1:9" s="13" customFormat="1" ht="17.100000000000001" customHeight="1">
      <c r="A12" s="35"/>
      <c r="B12" s="36"/>
      <c r="C12" s="36"/>
      <c r="D12" s="36"/>
      <c r="E12" s="36"/>
      <c r="F12" s="36"/>
      <c r="G12" s="36"/>
      <c r="H12" s="36"/>
      <c r="I12" s="36"/>
    </row>
    <row r="13" spans="1:9" s="13" customFormat="1" ht="17.100000000000001" customHeight="1">
      <c r="A13" s="35"/>
      <c r="B13" s="36"/>
      <c r="C13" s="36"/>
      <c r="D13" s="36"/>
      <c r="E13" s="36"/>
      <c r="F13" s="36"/>
      <c r="G13" s="36"/>
      <c r="H13" s="36"/>
      <c r="I13" s="36"/>
    </row>
    <row r="14" spans="1:9" s="13" customFormat="1" ht="17.100000000000001" customHeight="1">
      <c r="A14" s="35"/>
      <c r="B14" s="36"/>
      <c r="C14" s="36"/>
      <c r="D14" s="36"/>
      <c r="E14" s="36"/>
      <c r="F14" s="36"/>
      <c r="G14" s="36"/>
      <c r="H14" s="36"/>
      <c r="I14" s="36"/>
    </row>
    <row r="15" spans="1:9" s="13" customFormat="1" ht="17.100000000000001" customHeight="1">
      <c r="A15" s="35"/>
      <c r="B15" s="36"/>
      <c r="C15" s="36"/>
      <c r="D15" s="36"/>
      <c r="E15" s="36"/>
      <c r="F15" s="36"/>
      <c r="G15" s="36"/>
      <c r="H15" s="36"/>
      <c r="I15" s="36"/>
    </row>
    <row r="16" spans="1:9" s="13" customFormat="1" ht="17.100000000000001" customHeight="1">
      <c r="A16" s="35"/>
      <c r="B16" s="36"/>
      <c r="C16" s="36"/>
      <c r="D16" s="36"/>
      <c r="E16" s="36"/>
      <c r="F16" s="36"/>
      <c r="G16" s="36"/>
      <c r="H16" s="36"/>
      <c r="I16" s="36"/>
    </row>
    <row r="17" spans="1:9" s="13" customFormat="1" ht="17.100000000000001" customHeight="1">
      <c r="A17" s="35"/>
      <c r="B17" s="36"/>
      <c r="C17" s="36"/>
      <c r="D17" s="36"/>
      <c r="E17" s="36"/>
      <c r="F17" s="36"/>
      <c r="G17" s="36"/>
      <c r="H17" s="36"/>
      <c r="I17" s="36"/>
    </row>
    <row r="18" spans="1:9" s="13" customFormat="1" ht="17.100000000000001" customHeight="1">
      <c r="A18" s="35"/>
      <c r="B18" s="36"/>
      <c r="C18" s="36"/>
      <c r="D18" s="36"/>
      <c r="E18" s="36"/>
      <c r="F18" s="36"/>
      <c r="G18" s="36"/>
      <c r="H18" s="36"/>
      <c r="I18" s="36"/>
    </row>
    <row r="19" spans="1:9" s="13" customFormat="1" ht="17.100000000000001" customHeight="1">
      <c r="A19" s="35"/>
      <c r="B19" s="36"/>
      <c r="C19" s="36"/>
      <c r="D19" s="36"/>
      <c r="E19" s="36"/>
      <c r="F19" s="36"/>
      <c r="G19" s="36"/>
      <c r="H19" s="36"/>
      <c r="I19" s="36"/>
    </row>
    <row r="20" spans="1:9" s="13" customFormat="1" ht="17.100000000000001" customHeight="1">
      <c r="A20" s="35"/>
      <c r="B20" s="36"/>
      <c r="C20" s="36"/>
      <c r="D20" s="36"/>
      <c r="E20" s="36"/>
      <c r="F20" s="36"/>
      <c r="G20" s="36"/>
      <c r="H20" s="36"/>
      <c r="I20" s="36"/>
    </row>
    <row r="21" spans="1:9" s="13" customFormat="1" ht="17.100000000000001" customHeight="1">
      <c r="A21" s="35"/>
      <c r="B21" s="36"/>
      <c r="C21" s="36"/>
      <c r="D21" s="36"/>
      <c r="E21" s="36"/>
      <c r="F21" s="36"/>
      <c r="G21" s="36"/>
      <c r="H21" s="36"/>
      <c r="I21" s="36"/>
    </row>
    <row r="22" spans="1:9" s="13" customFormat="1" ht="17.100000000000001" customHeight="1">
      <c r="A22" s="35"/>
      <c r="B22" s="36"/>
      <c r="C22" s="36"/>
      <c r="D22" s="36"/>
      <c r="E22" s="36"/>
      <c r="F22" s="36"/>
      <c r="G22" s="36"/>
      <c r="H22" s="36"/>
      <c r="I22" s="36"/>
    </row>
    <row r="23" spans="1:9" s="13" customFormat="1" ht="17.100000000000001" customHeight="1">
      <c r="A23" s="35"/>
      <c r="B23" s="36"/>
      <c r="C23" s="36"/>
      <c r="D23" s="36"/>
      <c r="E23" s="36"/>
      <c r="F23" s="36"/>
      <c r="G23" s="36"/>
      <c r="H23" s="36"/>
      <c r="I23" s="36"/>
    </row>
    <row r="24" spans="1:9" s="13" customFormat="1" ht="17.100000000000001" customHeight="1">
      <c r="A24" s="35"/>
      <c r="B24" s="36"/>
      <c r="C24" s="36"/>
      <c r="D24" s="36"/>
      <c r="E24" s="36"/>
      <c r="F24" s="36"/>
      <c r="G24" s="36"/>
      <c r="H24" s="36"/>
      <c r="I24" s="36"/>
    </row>
    <row r="25" spans="1:9" s="13" customFormat="1" ht="17.100000000000001" customHeight="1">
      <c r="A25" s="35"/>
      <c r="B25" s="36"/>
      <c r="C25" s="36"/>
      <c r="D25" s="36"/>
      <c r="E25" s="36"/>
      <c r="F25" s="36"/>
      <c r="G25" s="36"/>
      <c r="H25" s="36"/>
      <c r="I25" s="36"/>
    </row>
    <row r="26" spans="1:9" s="13" customFormat="1" ht="17.100000000000001" customHeight="1">
      <c r="A26" s="35"/>
      <c r="B26" s="36"/>
      <c r="C26" s="36"/>
      <c r="D26" s="36"/>
      <c r="E26" s="36"/>
      <c r="F26" s="36"/>
      <c r="G26" s="36"/>
      <c r="H26" s="36"/>
      <c r="I26" s="36"/>
    </row>
    <row r="27" spans="1:9" s="13" customFormat="1" ht="17.100000000000001" customHeight="1">
      <c r="A27" s="35"/>
      <c r="B27" s="36"/>
      <c r="C27" s="36"/>
      <c r="D27" s="36"/>
      <c r="E27" s="36"/>
      <c r="F27" s="36"/>
      <c r="G27" s="36"/>
      <c r="H27" s="36"/>
      <c r="I27" s="36"/>
    </row>
    <row r="28" spans="1:9" s="13" customFormat="1" ht="17.100000000000001" customHeight="1">
      <c r="A28" s="35"/>
      <c r="B28" s="36"/>
      <c r="C28" s="36"/>
      <c r="D28" s="36"/>
      <c r="E28" s="36"/>
      <c r="F28" s="36"/>
      <c r="G28" s="36"/>
      <c r="H28" s="36"/>
      <c r="I28" s="36"/>
    </row>
    <row r="29" spans="1:9" s="13" customFormat="1" ht="17.100000000000001" customHeight="1">
      <c r="A29" s="35"/>
      <c r="B29" s="36"/>
      <c r="C29" s="36"/>
      <c r="D29" s="36"/>
      <c r="E29" s="36"/>
      <c r="F29" s="36"/>
      <c r="G29" s="36"/>
      <c r="H29" s="36"/>
      <c r="I29" s="36"/>
    </row>
    <row r="30" spans="1:9" s="13" customFormat="1" ht="17.100000000000001" customHeight="1">
      <c r="A30" s="35"/>
      <c r="B30" s="36"/>
      <c r="C30" s="36"/>
      <c r="D30" s="36"/>
      <c r="E30" s="36"/>
      <c r="F30" s="36"/>
      <c r="G30" s="36"/>
      <c r="H30" s="36"/>
      <c r="I30" s="36"/>
    </row>
    <row r="31" spans="1:9" s="13" customFormat="1" ht="17.100000000000001" customHeight="1">
      <c r="A31" s="35"/>
      <c r="B31" s="36"/>
      <c r="C31" s="36"/>
      <c r="D31" s="36"/>
      <c r="E31" s="36"/>
      <c r="F31" s="36"/>
      <c r="G31" s="36"/>
      <c r="H31" s="36"/>
      <c r="I31" s="36"/>
    </row>
    <row r="32" spans="1:9" s="13" customFormat="1" ht="17.100000000000001" customHeight="1">
      <c r="A32" s="35"/>
      <c r="B32" s="36"/>
      <c r="C32" s="36"/>
      <c r="D32" s="36"/>
      <c r="E32" s="36"/>
      <c r="F32" s="36"/>
      <c r="G32" s="36"/>
      <c r="H32" s="36"/>
      <c r="I32" s="36"/>
    </row>
    <row r="33" spans="1:9" s="13" customFormat="1" ht="17.100000000000001" customHeight="1">
      <c r="A33" s="35"/>
      <c r="B33" s="36"/>
      <c r="C33" s="36"/>
      <c r="D33" s="36"/>
      <c r="E33" s="36"/>
      <c r="F33" s="36"/>
      <c r="G33" s="36"/>
      <c r="H33" s="36"/>
      <c r="I33" s="36"/>
    </row>
    <row r="34" spans="1:9" s="13" customFormat="1" ht="17.100000000000001" customHeight="1">
      <c r="A34" s="35"/>
      <c r="B34" s="36"/>
      <c r="C34" s="36"/>
      <c r="D34" s="36"/>
      <c r="E34" s="36"/>
      <c r="F34" s="36"/>
      <c r="G34" s="36"/>
      <c r="H34" s="36"/>
      <c r="I34" s="36"/>
    </row>
    <row r="35" spans="1:9" s="13" customFormat="1" ht="17.100000000000001" customHeight="1"/>
    <row r="36" spans="1:9" s="13" customFormat="1" ht="17.100000000000001" customHeight="1"/>
    <row r="37" spans="1:9" s="13" customFormat="1" ht="17.100000000000001" customHeight="1"/>
    <row r="38" spans="1:9" s="13" customFormat="1" ht="17.100000000000001" customHeight="1"/>
    <row r="39" spans="1:9" s="13" customFormat="1" ht="17.100000000000001" customHeight="1"/>
  </sheetData>
  <mergeCells count="2">
    <mergeCell ref="H1:I1"/>
    <mergeCell ref="E1:F1"/>
  </mergeCells>
  <dataValidations count="1">
    <dataValidation type="list" allowBlank="1" showInputMessage="1" showErrorMessage="1" sqref="A5:A6 A8:A34">
      <formula1>Electrical</formula1>
    </dataValidation>
  </dataValidations>
  <printOptions horizontalCentered="1" verticalCentered="1"/>
  <pageMargins left="0" right="0" top="0.25" bottom="0.2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5"/>
  <sheetViews>
    <sheetView topLeftCell="A4" workbookViewId="0">
      <selection activeCell="C61" sqref="C61"/>
    </sheetView>
  </sheetViews>
  <sheetFormatPr defaultRowHeight="15"/>
  <cols>
    <col min="1" max="1" width="22.7109375" customWidth="1"/>
    <col min="2" max="2" width="7.7109375" customWidth="1"/>
    <col min="3" max="3" width="41.7109375" customWidth="1"/>
    <col min="4" max="4" width="11.7109375" customWidth="1"/>
    <col min="8" max="8" width="10.7109375" customWidth="1"/>
    <col min="9" max="9" width="7.7109375" customWidth="1"/>
  </cols>
  <sheetData>
    <row r="1" spans="1:9" ht="30" customHeight="1">
      <c r="A1" s="6" t="s">
        <v>231</v>
      </c>
      <c r="B1" s="6"/>
      <c r="C1" s="6"/>
      <c r="D1" s="2"/>
      <c r="E1" s="178" t="s">
        <v>232</v>
      </c>
      <c r="F1" s="178"/>
      <c r="G1" s="96" t="s">
        <v>20</v>
      </c>
      <c r="H1" s="176">
        <v>42270</v>
      </c>
      <c r="I1" s="176"/>
    </row>
    <row r="2" spans="1:9" ht="6" customHeight="1">
      <c r="A2" s="9"/>
      <c r="B2" s="10"/>
      <c r="C2" s="10"/>
      <c r="D2" s="10"/>
      <c r="E2" s="11"/>
      <c r="F2" s="12"/>
      <c r="G2" s="12"/>
      <c r="H2" s="12"/>
      <c r="I2" s="10"/>
    </row>
    <row r="3" spans="1:9" ht="9" customHeight="1">
      <c r="A3" s="8"/>
      <c r="B3" s="2"/>
      <c r="C3" s="2"/>
      <c r="D3" s="2"/>
      <c r="E3" s="3"/>
      <c r="F3" s="3"/>
      <c r="G3" s="3"/>
      <c r="H3" s="3"/>
      <c r="I3" s="2"/>
    </row>
    <row r="4" spans="1:9" ht="33" customHeight="1">
      <c r="A4" s="4" t="s">
        <v>8</v>
      </c>
      <c r="B4" s="4" t="s">
        <v>39</v>
      </c>
      <c r="C4" s="4" t="s">
        <v>0</v>
      </c>
      <c r="D4" s="4" t="s">
        <v>1</v>
      </c>
      <c r="E4" s="5" t="s">
        <v>31</v>
      </c>
      <c r="F4" s="7" t="s">
        <v>27</v>
      </c>
      <c r="G4" s="5" t="s">
        <v>40</v>
      </c>
      <c r="H4" s="5" t="s">
        <v>7</v>
      </c>
      <c r="I4" s="4" t="s">
        <v>2</v>
      </c>
    </row>
    <row r="5" spans="1:9" s="14" customFormat="1" ht="17.100000000000001" customHeight="1">
      <c r="A5" s="90" t="s">
        <v>226</v>
      </c>
      <c r="B5" s="91">
        <v>5001</v>
      </c>
      <c r="C5" s="92" t="s">
        <v>58</v>
      </c>
      <c r="D5" s="92" t="s">
        <v>10</v>
      </c>
      <c r="E5" s="93">
        <v>85.75</v>
      </c>
      <c r="F5" s="94">
        <v>0</v>
      </c>
      <c r="G5" s="95">
        <f t="shared" ref="G5:G15" si="0">SUM(E5+F5)*I5</f>
        <v>85.75</v>
      </c>
      <c r="H5" s="94">
        <v>115</v>
      </c>
      <c r="I5" s="91">
        <v>1</v>
      </c>
    </row>
    <row r="6" spans="1:9" s="14" customFormat="1" ht="17.100000000000001" customHeight="1">
      <c r="A6" s="90" t="s">
        <v>226</v>
      </c>
      <c r="B6" s="91">
        <v>5002</v>
      </c>
      <c r="C6" s="92" t="s">
        <v>59</v>
      </c>
      <c r="D6" s="92" t="s">
        <v>10</v>
      </c>
      <c r="E6" s="93">
        <v>85.7</v>
      </c>
      <c r="F6" s="94">
        <v>0</v>
      </c>
      <c r="G6" s="95">
        <f t="shared" si="0"/>
        <v>85.7</v>
      </c>
      <c r="H6" s="94">
        <v>120</v>
      </c>
      <c r="I6" s="91">
        <v>1</v>
      </c>
    </row>
    <row r="7" spans="1:9" s="14" customFormat="1" ht="17.100000000000001" customHeight="1">
      <c r="A7" s="90" t="s">
        <v>226</v>
      </c>
      <c r="B7" s="91">
        <v>5003</v>
      </c>
      <c r="C7" s="92" t="s">
        <v>60</v>
      </c>
      <c r="D7" s="92" t="s">
        <v>10</v>
      </c>
      <c r="E7" s="93">
        <v>56.65</v>
      </c>
      <c r="F7" s="94">
        <v>0</v>
      </c>
      <c r="G7" s="95">
        <f t="shared" si="0"/>
        <v>56.65</v>
      </c>
      <c r="H7" s="94">
        <v>81</v>
      </c>
      <c r="I7" s="91">
        <v>1</v>
      </c>
    </row>
    <row r="8" spans="1:9" s="14" customFormat="1" ht="17.100000000000001" customHeight="1">
      <c r="A8" s="90" t="s">
        <v>226</v>
      </c>
      <c r="B8" s="91">
        <v>5004</v>
      </c>
      <c r="C8" s="92" t="s">
        <v>61</v>
      </c>
      <c r="D8" s="92" t="s">
        <v>10</v>
      </c>
      <c r="E8" s="93">
        <v>56.25</v>
      </c>
      <c r="F8" s="94">
        <v>0</v>
      </c>
      <c r="G8" s="95">
        <f t="shared" si="0"/>
        <v>56.25</v>
      </c>
      <c r="H8" s="94">
        <v>84.5</v>
      </c>
      <c r="I8" s="91">
        <v>1</v>
      </c>
    </row>
    <row r="9" spans="1:9" s="14" customFormat="1" ht="17.100000000000001" customHeight="1">
      <c r="A9" s="90" t="s">
        <v>226</v>
      </c>
      <c r="B9" s="91">
        <v>5005</v>
      </c>
      <c r="C9" s="92" t="s">
        <v>55</v>
      </c>
      <c r="D9" s="92" t="s">
        <v>10</v>
      </c>
      <c r="E9" s="93">
        <v>34.700000000000003</v>
      </c>
      <c r="F9" s="94">
        <v>0</v>
      </c>
      <c r="G9" s="95">
        <f t="shared" si="0"/>
        <v>34.700000000000003</v>
      </c>
      <c r="H9" s="94">
        <v>43.5</v>
      </c>
      <c r="I9" s="91">
        <v>1</v>
      </c>
    </row>
    <row r="10" spans="1:9" s="14" customFormat="1" ht="17.100000000000001" customHeight="1">
      <c r="A10" s="90" t="s">
        <v>226</v>
      </c>
      <c r="B10" s="91">
        <v>5006</v>
      </c>
      <c r="C10" s="92" t="s">
        <v>56</v>
      </c>
      <c r="D10" s="92" t="s">
        <v>10</v>
      </c>
      <c r="E10" s="93">
        <v>34.549999999999997</v>
      </c>
      <c r="F10" s="94">
        <v>0</v>
      </c>
      <c r="G10" s="95">
        <f t="shared" si="0"/>
        <v>34.549999999999997</v>
      </c>
      <c r="H10" s="94">
        <v>43.25</v>
      </c>
      <c r="I10" s="91">
        <v>1</v>
      </c>
    </row>
    <row r="11" spans="1:9" s="14" customFormat="1" ht="17.100000000000001" customHeight="1">
      <c r="A11" s="90" t="s">
        <v>226</v>
      </c>
      <c r="B11" s="91">
        <v>5007</v>
      </c>
      <c r="C11" s="92" t="s">
        <v>54</v>
      </c>
      <c r="D11" s="92" t="s">
        <v>10</v>
      </c>
      <c r="E11" s="93">
        <v>125.1</v>
      </c>
      <c r="F11" s="94">
        <v>0</v>
      </c>
      <c r="G11" s="95">
        <f t="shared" si="0"/>
        <v>125.1</v>
      </c>
      <c r="H11" s="94">
        <v>156.5</v>
      </c>
      <c r="I11" s="91">
        <v>1</v>
      </c>
    </row>
    <row r="12" spans="1:9" s="14" customFormat="1" ht="17.100000000000001" customHeight="1">
      <c r="A12" s="90" t="s">
        <v>226</v>
      </c>
      <c r="B12" s="91">
        <v>5008</v>
      </c>
      <c r="C12" s="92" t="s">
        <v>57</v>
      </c>
      <c r="D12" s="92" t="s">
        <v>10</v>
      </c>
      <c r="E12" s="93">
        <v>133.19999999999999</v>
      </c>
      <c r="F12" s="94">
        <v>0</v>
      </c>
      <c r="G12" s="95">
        <f t="shared" si="0"/>
        <v>133.19999999999999</v>
      </c>
      <c r="H12" s="94">
        <v>177.5</v>
      </c>
      <c r="I12" s="91">
        <v>1</v>
      </c>
    </row>
    <row r="13" spans="1:9" s="14" customFormat="1" ht="17.100000000000001" customHeight="1">
      <c r="A13" s="90" t="s">
        <v>226</v>
      </c>
      <c r="B13" s="91">
        <v>5009</v>
      </c>
      <c r="C13" s="92" t="s">
        <v>66</v>
      </c>
      <c r="D13" s="92" t="s">
        <v>19</v>
      </c>
      <c r="E13" s="93">
        <v>102.55</v>
      </c>
      <c r="F13" s="94">
        <v>9</v>
      </c>
      <c r="G13" s="95">
        <f t="shared" si="0"/>
        <v>111.55</v>
      </c>
      <c r="H13" s="94">
        <v>147</v>
      </c>
      <c r="I13" s="91">
        <v>1</v>
      </c>
    </row>
    <row r="14" spans="1:9" s="14" customFormat="1" ht="17.100000000000001" customHeight="1">
      <c r="A14" s="90" t="s">
        <v>226</v>
      </c>
      <c r="B14" s="91">
        <v>5010</v>
      </c>
      <c r="C14" s="92" t="s">
        <v>67</v>
      </c>
      <c r="D14" s="92" t="s">
        <v>19</v>
      </c>
      <c r="E14" s="93">
        <v>67.349999999999994</v>
      </c>
      <c r="F14" s="94">
        <v>9</v>
      </c>
      <c r="G14" s="95">
        <f t="shared" si="0"/>
        <v>76.349999999999994</v>
      </c>
      <c r="H14" s="94">
        <v>92.5</v>
      </c>
      <c r="I14" s="91">
        <v>1</v>
      </c>
    </row>
    <row r="15" spans="1:9" s="14" customFormat="1" ht="17.100000000000001" customHeight="1">
      <c r="A15" s="90" t="s">
        <v>226</v>
      </c>
      <c r="B15" s="91">
        <v>5011</v>
      </c>
      <c r="C15" s="92" t="s">
        <v>88</v>
      </c>
      <c r="D15" s="92" t="s">
        <v>10</v>
      </c>
      <c r="E15" s="93">
        <v>31.85</v>
      </c>
      <c r="F15" s="94">
        <v>2.25</v>
      </c>
      <c r="G15" s="95">
        <f t="shared" si="0"/>
        <v>34.1</v>
      </c>
      <c r="H15" s="94">
        <v>43.63</v>
      </c>
      <c r="I15" s="91">
        <v>1</v>
      </c>
    </row>
    <row r="16" spans="1:9" s="14" customFormat="1" ht="17.100000000000001" customHeight="1">
      <c r="A16" s="90" t="s">
        <v>226</v>
      </c>
      <c r="B16" s="91">
        <v>5012</v>
      </c>
      <c r="C16" s="92" t="s">
        <v>87</v>
      </c>
      <c r="D16" s="92" t="s">
        <v>10</v>
      </c>
      <c r="E16" s="93">
        <v>83.9</v>
      </c>
      <c r="F16" s="94">
        <v>2.25</v>
      </c>
      <c r="G16" s="95">
        <v>86.15</v>
      </c>
      <c r="H16" s="94">
        <v>120.11</v>
      </c>
      <c r="I16" s="91">
        <v>0</v>
      </c>
    </row>
    <row r="17" spans="1:9" s="14" customFormat="1" ht="17.100000000000001" customHeight="1">
      <c r="A17" s="90" t="s">
        <v>226</v>
      </c>
      <c r="B17" s="91">
        <v>5013</v>
      </c>
      <c r="C17" s="92" t="s">
        <v>63</v>
      </c>
      <c r="D17" s="92" t="s">
        <v>64</v>
      </c>
      <c r="E17" s="93">
        <v>25.13</v>
      </c>
      <c r="F17" s="94">
        <v>3.63</v>
      </c>
      <c r="G17" s="95">
        <f t="shared" ref="G17:G25" si="1">SUM(E17+F17)*I17</f>
        <v>28.759999999999998</v>
      </c>
      <c r="H17" s="94">
        <v>30</v>
      </c>
      <c r="I17" s="91">
        <v>1</v>
      </c>
    </row>
    <row r="18" spans="1:9" s="14" customFormat="1" ht="17.100000000000001" customHeight="1">
      <c r="A18" s="90" t="s">
        <v>226</v>
      </c>
      <c r="B18" s="91">
        <v>5014</v>
      </c>
      <c r="C18" s="92" t="s">
        <v>65</v>
      </c>
      <c r="D18" s="92" t="s">
        <v>64</v>
      </c>
      <c r="E18" s="93">
        <v>9.25</v>
      </c>
      <c r="F18" s="94">
        <v>3.63</v>
      </c>
      <c r="G18" s="95">
        <f t="shared" si="1"/>
        <v>77.28</v>
      </c>
      <c r="H18" s="94"/>
      <c r="I18" s="91">
        <v>6</v>
      </c>
    </row>
    <row r="19" spans="1:9" s="14" customFormat="1" ht="17.100000000000001" customHeight="1">
      <c r="A19" s="90" t="s">
        <v>226</v>
      </c>
      <c r="B19" s="91">
        <v>5015</v>
      </c>
      <c r="C19" s="92" t="s">
        <v>75</v>
      </c>
      <c r="D19" s="92" t="s">
        <v>11</v>
      </c>
      <c r="E19" s="93">
        <v>28</v>
      </c>
      <c r="F19" s="94">
        <v>2.75</v>
      </c>
      <c r="G19" s="95">
        <f t="shared" si="1"/>
        <v>30.75</v>
      </c>
      <c r="H19" s="94">
        <v>35</v>
      </c>
      <c r="I19" s="91">
        <v>1</v>
      </c>
    </row>
    <row r="20" spans="1:9" s="14" customFormat="1" ht="17.100000000000001" customHeight="1">
      <c r="A20" s="90" t="s">
        <v>226</v>
      </c>
      <c r="B20" s="91">
        <v>5016</v>
      </c>
      <c r="C20" s="92" t="s">
        <v>312</v>
      </c>
      <c r="D20" s="92" t="s">
        <v>19</v>
      </c>
      <c r="E20" s="93">
        <v>33.75</v>
      </c>
      <c r="F20" s="94">
        <v>7.66</v>
      </c>
      <c r="G20" s="95">
        <f t="shared" si="1"/>
        <v>41.41</v>
      </c>
      <c r="H20" s="94">
        <v>48.25</v>
      </c>
      <c r="I20" s="91">
        <v>1</v>
      </c>
    </row>
    <row r="21" spans="1:9" s="14" customFormat="1" ht="17.100000000000001" customHeight="1">
      <c r="A21" s="90" t="s">
        <v>226</v>
      </c>
      <c r="B21" s="91">
        <v>5017</v>
      </c>
      <c r="C21" s="92" t="s">
        <v>313</v>
      </c>
      <c r="D21" s="92" t="s">
        <v>19</v>
      </c>
      <c r="E21" s="93">
        <v>25.75</v>
      </c>
      <c r="F21" s="94">
        <v>7.66</v>
      </c>
      <c r="G21" s="95">
        <f t="shared" si="1"/>
        <v>33.409999999999997</v>
      </c>
      <c r="H21" s="94">
        <v>37</v>
      </c>
      <c r="I21" s="91">
        <v>1</v>
      </c>
    </row>
    <row r="22" spans="1:9" s="14" customFormat="1" ht="17.100000000000001" customHeight="1">
      <c r="A22" s="90" t="s">
        <v>226</v>
      </c>
      <c r="B22" s="91">
        <v>5018</v>
      </c>
      <c r="C22" s="92" t="s">
        <v>314</v>
      </c>
      <c r="D22" s="92" t="s">
        <v>19</v>
      </c>
      <c r="E22" s="93">
        <v>56.05</v>
      </c>
      <c r="F22" s="94">
        <v>7.66</v>
      </c>
      <c r="G22" s="95">
        <f t="shared" si="1"/>
        <v>63.709999999999994</v>
      </c>
      <c r="H22" s="94">
        <v>80.099999999999994</v>
      </c>
      <c r="I22" s="91">
        <v>1</v>
      </c>
    </row>
    <row r="23" spans="1:9" s="14" customFormat="1" ht="17.100000000000001" customHeight="1">
      <c r="A23" s="144" t="s">
        <v>226</v>
      </c>
      <c r="B23" s="91">
        <v>5019</v>
      </c>
      <c r="C23" s="92" t="s">
        <v>367</v>
      </c>
      <c r="D23" s="92" t="s">
        <v>320</v>
      </c>
      <c r="E23" s="93">
        <v>66.989999999999995</v>
      </c>
      <c r="F23" s="94">
        <v>0</v>
      </c>
      <c r="G23" s="95">
        <v>66.989999999999995</v>
      </c>
      <c r="H23" s="94">
        <v>99.95</v>
      </c>
      <c r="I23" s="91">
        <v>1</v>
      </c>
    </row>
    <row r="24" spans="1:9" s="14" customFormat="1" ht="17.100000000000001" customHeight="1">
      <c r="A24" s="144" t="s">
        <v>226</v>
      </c>
      <c r="B24" s="91">
        <v>5020</v>
      </c>
      <c r="C24" s="92" t="s">
        <v>371</v>
      </c>
      <c r="D24" s="92" t="s">
        <v>82</v>
      </c>
      <c r="E24" s="93">
        <v>8.7200000000000006</v>
      </c>
      <c r="F24" s="94">
        <v>0.78</v>
      </c>
      <c r="G24" s="95">
        <v>9.5</v>
      </c>
      <c r="H24" s="94">
        <v>15.73</v>
      </c>
      <c r="I24" s="91">
        <v>1</v>
      </c>
    </row>
    <row r="25" spans="1:9" s="14" customFormat="1" ht="17.100000000000001" customHeight="1">
      <c r="A25" s="90" t="s">
        <v>227</v>
      </c>
      <c r="B25" s="91">
        <v>5101</v>
      </c>
      <c r="C25" s="91" t="s">
        <v>36</v>
      </c>
      <c r="D25" s="91" t="s">
        <v>37</v>
      </c>
      <c r="E25" s="94">
        <v>0.04</v>
      </c>
      <c r="F25" s="94">
        <v>0.01</v>
      </c>
      <c r="G25" s="95">
        <f t="shared" si="1"/>
        <v>0.65</v>
      </c>
      <c r="H25" s="94">
        <v>0.75</v>
      </c>
      <c r="I25" s="91">
        <v>13</v>
      </c>
    </row>
    <row r="26" spans="1:9" s="14" customFormat="1" ht="17.100000000000001" customHeight="1">
      <c r="A26" s="90" t="s">
        <v>227</v>
      </c>
      <c r="B26" s="91">
        <v>5102</v>
      </c>
      <c r="C26" s="91" t="s">
        <v>95</v>
      </c>
      <c r="D26" s="91" t="s">
        <v>96</v>
      </c>
      <c r="E26" s="118">
        <v>0.25</v>
      </c>
      <c r="F26" s="118">
        <v>0</v>
      </c>
      <c r="G26" s="118">
        <v>0.25</v>
      </c>
      <c r="H26" s="118">
        <v>0.5</v>
      </c>
      <c r="I26" s="91">
        <v>7</v>
      </c>
    </row>
    <row r="27" spans="1:9" s="14" customFormat="1" ht="17.100000000000001" customHeight="1">
      <c r="A27" s="90" t="s">
        <v>227</v>
      </c>
      <c r="B27" s="91">
        <v>5103</v>
      </c>
      <c r="C27" s="91" t="s">
        <v>38</v>
      </c>
      <c r="D27" s="91" t="s">
        <v>37</v>
      </c>
      <c r="E27" s="94">
        <v>9.75</v>
      </c>
      <c r="F27" s="94">
        <v>5</v>
      </c>
      <c r="G27" s="95">
        <f>SUM(E27+F27)*I27</f>
        <v>14.75</v>
      </c>
      <c r="H27" s="94">
        <v>0</v>
      </c>
      <c r="I27" s="91">
        <v>1</v>
      </c>
    </row>
    <row r="28" spans="1:9" s="14" customFormat="1" ht="17.100000000000001" customHeight="1">
      <c r="A28" s="115" t="s">
        <v>237</v>
      </c>
      <c r="B28" s="116">
        <v>5104</v>
      </c>
      <c r="C28" s="116" t="s">
        <v>241</v>
      </c>
      <c r="D28" s="116"/>
      <c r="E28" s="117"/>
      <c r="F28" s="117"/>
      <c r="G28" s="141"/>
      <c r="H28" s="117"/>
      <c r="I28" s="116">
        <v>0</v>
      </c>
    </row>
    <row r="29" spans="1:9" s="14" customFormat="1" ht="17.100000000000001" customHeight="1">
      <c r="A29" s="115" t="s">
        <v>237</v>
      </c>
      <c r="B29" s="116">
        <v>5105</v>
      </c>
      <c r="C29" s="116" t="s">
        <v>322</v>
      </c>
      <c r="D29" s="116" t="s">
        <v>320</v>
      </c>
      <c r="E29" s="117">
        <v>1.44</v>
      </c>
      <c r="F29" s="117">
        <v>0</v>
      </c>
      <c r="G29" s="141">
        <v>1.44</v>
      </c>
      <c r="H29" s="117">
        <v>2.5</v>
      </c>
      <c r="I29" s="116">
        <v>5</v>
      </c>
    </row>
    <row r="30" spans="1:9" s="14" customFormat="1" ht="17.100000000000001" customHeight="1">
      <c r="A30" s="115" t="s">
        <v>228</v>
      </c>
      <c r="B30" s="116">
        <v>5201</v>
      </c>
      <c r="C30" s="116" t="s">
        <v>81</v>
      </c>
      <c r="D30" s="116" t="s">
        <v>82</v>
      </c>
      <c r="E30" s="117">
        <v>7.61</v>
      </c>
      <c r="F30" s="117">
        <v>0</v>
      </c>
      <c r="G30" s="117">
        <v>7.61</v>
      </c>
      <c r="H30" s="117">
        <v>15</v>
      </c>
      <c r="I30" s="116">
        <v>12</v>
      </c>
    </row>
    <row r="31" spans="1:9" s="14" customFormat="1" ht="17.100000000000001" customHeight="1">
      <c r="A31" s="144" t="s">
        <v>262</v>
      </c>
      <c r="B31" s="91">
        <v>5301</v>
      </c>
      <c r="C31" s="91" t="s">
        <v>263</v>
      </c>
      <c r="D31" s="91"/>
      <c r="E31" s="144"/>
      <c r="F31" s="144"/>
      <c r="G31" s="144"/>
      <c r="H31" s="144"/>
      <c r="I31" s="144"/>
    </row>
    <row r="32" spans="1:9" s="14" customFormat="1" ht="17.100000000000001" customHeight="1">
      <c r="A32" s="144" t="s">
        <v>304</v>
      </c>
      <c r="B32" s="91">
        <v>5401</v>
      </c>
      <c r="C32" s="91" t="s">
        <v>368</v>
      </c>
      <c r="D32" s="91" t="s">
        <v>233</v>
      </c>
      <c r="E32" s="144">
        <v>2.09</v>
      </c>
      <c r="F32" s="144">
        <v>0.18</v>
      </c>
      <c r="G32" s="144">
        <v>2.27</v>
      </c>
      <c r="H32" s="144">
        <v>2.72</v>
      </c>
      <c r="I32" s="144">
        <v>0</v>
      </c>
    </row>
    <row r="33" spans="1:9" s="14" customFormat="1" ht="17.100000000000001" customHeight="1">
      <c r="A33" s="144" t="s">
        <v>305</v>
      </c>
      <c r="B33" s="91">
        <v>5501</v>
      </c>
      <c r="C33" s="91" t="s">
        <v>369</v>
      </c>
      <c r="D33" s="91" t="s">
        <v>233</v>
      </c>
      <c r="E33" s="144">
        <v>1.25</v>
      </c>
      <c r="F33" s="144">
        <v>0.11</v>
      </c>
      <c r="G33" s="144">
        <v>1.36</v>
      </c>
      <c r="H33" s="144">
        <v>1.63</v>
      </c>
      <c r="I33" s="144">
        <v>0</v>
      </c>
    </row>
    <row r="34" spans="1:9" s="14" customFormat="1" ht="17.100000000000001" customHeight="1">
      <c r="A34" s="144" t="s">
        <v>305</v>
      </c>
      <c r="B34" s="91">
        <v>5502</v>
      </c>
      <c r="C34" s="91" t="s">
        <v>370</v>
      </c>
      <c r="D34" s="91" t="s">
        <v>233</v>
      </c>
      <c r="E34" s="144">
        <v>3.05</v>
      </c>
      <c r="F34" s="144">
        <v>0.27</v>
      </c>
      <c r="G34" s="144">
        <v>3.32</v>
      </c>
      <c r="H34" s="144">
        <v>3.98</v>
      </c>
      <c r="I34" s="144">
        <v>0</v>
      </c>
    </row>
    <row r="35" spans="1:9" ht="17.100000000000001" customHeight="1">
      <c r="A35" s="144"/>
      <c r="B35" s="91"/>
      <c r="C35" s="91"/>
      <c r="D35" s="91"/>
      <c r="E35" s="144"/>
      <c r="F35" s="144"/>
      <c r="G35" s="144"/>
      <c r="H35" s="144"/>
      <c r="I35" s="144"/>
    </row>
    <row r="36" spans="1:9" ht="17.100000000000001" customHeight="1">
      <c r="A36" s="144"/>
      <c r="B36" s="91"/>
      <c r="C36" s="91"/>
      <c r="D36" s="91"/>
      <c r="E36" s="144"/>
      <c r="F36" s="144"/>
      <c r="G36" s="144"/>
      <c r="H36" s="144"/>
      <c r="I36" s="144"/>
    </row>
    <row r="37" spans="1:9" ht="17.100000000000001" customHeight="1">
      <c r="A37" s="144"/>
      <c r="B37" s="91"/>
      <c r="C37" s="91"/>
      <c r="D37" s="91"/>
      <c r="E37" s="144"/>
      <c r="F37" s="144"/>
      <c r="G37" s="144"/>
      <c r="H37" s="144"/>
      <c r="I37" s="144"/>
    </row>
    <row r="38" spans="1:9" ht="17.100000000000001" customHeight="1">
      <c r="A38" s="144"/>
      <c r="B38" s="91"/>
      <c r="C38" s="91"/>
      <c r="D38" s="91"/>
      <c r="E38" s="144"/>
      <c r="F38" s="144"/>
      <c r="G38" s="144"/>
      <c r="H38" s="144"/>
      <c r="I38" s="144"/>
    </row>
    <row r="39" spans="1:9" ht="17.100000000000001" customHeight="1">
      <c r="A39" s="144"/>
      <c r="B39" s="91"/>
      <c r="C39" s="91"/>
      <c r="D39" s="91"/>
      <c r="E39" s="144"/>
      <c r="F39" s="144"/>
      <c r="G39" s="144"/>
      <c r="H39" s="144"/>
      <c r="I39" s="144"/>
    </row>
    <row r="40" spans="1:9" ht="17.100000000000001" customHeight="1">
      <c r="A40" s="144"/>
      <c r="B40" s="91"/>
      <c r="C40" s="91"/>
      <c r="D40" s="91"/>
      <c r="E40" s="144"/>
      <c r="F40" s="144"/>
      <c r="G40" s="144"/>
      <c r="H40" s="144"/>
      <c r="I40" s="144"/>
    </row>
    <row r="41" spans="1:9" ht="17.100000000000001" customHeight="1">
      <c r="A41" s="144"/>
      <c r="B41" s="91"/>
      <c r="C41" s="91"/>
      <c r="D41" s="91"/>
      <c r="E41" s="144"/>
      <c r="F41" s="144"/>
      <c r="G41" s="144"/>
      <c r="H41" s="144"/>
      <c r="I41" s="144"/>
    </row>
    <row r="42" spans="1:9" ht="17.100000000000001" customHeight="1">
      <c r="A42" s="144"/>
      <c r="B42" s="91"/>
      <c r="C42" s="91"/>
      <c r="D42" s="91"/>
      <c r="E42" s="144"/>
      <c r="F42" s="144"/>
      <c r="G42" s="144"/>
      <c r="H42" s="144"/>
      <c r="I42" s="144"/>
    </row>
    <row r="43" spans="1:9" ht="17.100000000000001" customHeight="1">
      <c r="A43" s="144"/>
      <c r="B43" s="91"/>
      <c r="C43" s="91"/>
      <c r="D43" s="91"/>
      <c r="E43" s="144"/>
      <c r="F43" s="144"/>
      <c r="G43" s="144"/>
      <c r="H43" s="144"/>
      <c r="I43" s="144"/>
    </row>
    <row r="44" spans="1:9" ht="17.100000000000001" customHeight="1">
      <c r="A44" s="144"/>
      <c r="B44" s="91"/>
      <c r="C44" s="91"/>
      <c r="D44" s="91"/>
      <c r="E44" s="144"/>
      <c r="F44" s="144"/>
      <c r="G44" s="144"/>
      <c r="H44" s="144"/>
      <c r="I44" s="144"/>
    </row>
    <row r="45" spans="1:9" ht="17.100000000000001" customHeight="1">
      <c r="A45" s="144"/>
      <c r="B45" s="91"/>
      <c r="C45" s="91"/>
      <c r="D45" s="91"/>
      <c r="E45" s="144"/>
      <c r="F45" s="144"/>
      <c r="G45" s="144"/>
      <c r="H45" s="144"/>
      <c r="I45" s="144"/>
    </row>
    <row r="46" spans="1:9" ht="17.100000000000001" customHeight="1">
      <c r="A46" s="144"/>
      <c r="B46" s="91"/>
      <c r="C46" s="91"/>
      <c r="D46" s="91"/>
      <c r="E46" s="144"/>
      <c r="F46" s="144"/>
      <c r="G46" s="144"/>
      <c r="H46" s="144"/>
      <c r="I46" s="144"/>
    </row>
    <row r="47" spans="1:9" ht="17.100000000000001" customHeight="1">
      <c r="A47" s="144"/>
      <c r="B47" s="91"/>
      <c r="C47" s="91"/>
      <c r="D47" s="91"/>
      <c r="E47" s="144"/>
      <c r="F47" s="144"/>
      <c r="G47" s="144"/>
      <c r="H47" s="144"/>
      <c r="I47" s="144"/>
    </row>
    <row r="48" spans="1:9" ht="17.100000000000001" customHeight="1">
      <c r="A48" s="144"/>
      <c r="B48" s="91"/>
      <c r="C48" s="91"/>
      <c r="D48" s="91"/>
      <c r="E48" s="144"/>
      <c r="F48" s="144"/>
      <c r="G48" s="144"/>
      <c r="H48" s="144"/>
      <c r="I48" s="144"/>
    </row>
    <row r="49" spans="1:9" ht="17.100000000000001" customHeight="1">
      <c r="A49" s="144"/>
      <c r="B49" s="91"/>
      <c r="C49" s="91"/>
      <c r="D49" s="91"/>
      <c r="E49" s="144"/>
      <c r="F49" s="144"/>
      <c r="G49" s="144"/>
      <c r="H49" s="144"/>
      <c r="I49" s="144"/>
    </row>
    <row r="50" spans="1:9" ht="17.100000000000001" customHeight="1">
      <c r="A50" s="144"/>
      <c r="B50" s="91"/>
      <c r="C50" s="91"/>
      <c r="D50" s="91"/>
      <c r="E50" s="144"/>
      <c r="F50" s="144"/>
      <c r="G50" s="144"/>
      <c r="H50" s="144"/>
      <c r="I50" s="144"/>
    </row>
    <row r="51" spans="1:9" ht="17.100000000000001" customHeight="1">
      <c r="A51" s="144"/>
      <c r="B51" s="91"/>
      <c r="C51" s="91"/>
      <c r="D51" s="91"/>
      <c r="E51" s="144"/>
      <c r="F51" s="144"/>
      <c r="G51" s="144"/>
      <c r="H51" s="144"/>
      <c r="I51" s="144"/>
    </row>
    <row r="52" spans="1:9" ht="17.100000000000001" customHeight="1">
      <c r="A52" s="144"/>
      <c r="B52" s="91"/>
      <c r="C52" s="91"/>
      <c r="D52" s="91"/>
      <c r="E52" s="144"/>
      <c r="F52" s="144"/>
      <c r="G52" s="144"/>
      <c r="H52" s="144"/>
      <c r="I52" s="144"/>
    </row>
    <row r="53" spans="1:9" ht="17.100000000000001" customHeight="1">
      <c r="A53" s="144"/>
      <c r="B53" s="91"/>
      <c r="C53" s="91"/>
      <c r="D53" s="91"/>
      <c r="E53" s="144"/>
      <c r="F53" s="144"/>
      <c r="G53" s="144"/>
      <c r="H53" s="144"/>
      <c r="I53" s="144"/>
    </row>
    <row r="54" spans="1:9" ht="17.100000000000001" customHeight="1">
      <c r="A54" s="144"/>
      <c r="B54" s="91"/>
      <c r="C54" s="91"/>
      <c r="D54" s="91"/>
      <c r="E54" s="144"/>
      <c r="F54" s="144"/>
      <c r="G54" s="144"/>
      <c r="H54" s="144"/>
      <c r="I54" s="144"/>
    </row>
    <row r="55" spans="1:9" ht="17.100000000000001" customHeight="1">
      <c r="A55" s="144"/>
      <c r="B55" s="91"/>
      <c r="C55" s="91"/>
      <c r="D55" s="91"/>
      <c r="E55" s="144"/>
      <c r="F55" s="144"/>
      <c r="G55" s="144"/>
      <c r="H55" s="144"/>
      <c r="I55" s="144"/>
    </row>
    <row r="56" spans="1:9" ht="17.100000000000001" customHeight="1">
      <c r="A56" s="144"/>
      <c r="B56" s="91"/>
      <c r="C56" s="91"/>
      <c r="D56" s="91"/>
      <c r="E56" s="144"/>
      <c r="F56" s="144"/>
      <c r="G56" s="144"/>
      <c r="H56" s="144"/>
      <c r="I56" s="144"/>
    </row>
    <row r="57" spans="1:9" ht="17.100000000000001" customHeight="1">
      <c r="A57" s="144"/>
      <c r="B57" s="91"/>
      <c r="C57" s="91"/>
      <c r="D57" s="91"/>
      <c r="E57" s="144"/>
      <c r="F57" s="144"/>
      <c r="G57" s="144"/>
      <c r="H57" s="144"/>
      <c r="I57" s="144"/>
    </row>
    <row r="58" spans="1:9" ht="17.100000000000001" customHeight="1">
      <c r="A58" s="144"/>
      <c r="B58" s="91"/>
      <c r="C58" s="91"/>
      <c r="D58" s="91"/>
      <c r="E58" s="144"/>
      <c r="F58" s="144"/>
      <c r="G58" s="144"/>
      <c r="H58" s="144"/>
      <c r="I58" s="144"/>
    </row>
    <row r="59" spans="1:9" ht="17.100000000000001" customHeight="1">
      <c r="A59" s="144"/>
      <c r="B59" s="91"/>
      <c r="C59" s="91"/>
      <c r="D59" s="91"/>
      <c r="E59" s="144"/>
      <c r="F59" s="144"/>
      <c r="G59" s="144"/>
      <c r="H59" s="144"/>
      <c r="I59" s="144"/>
    </row>
    <row r="60" spans="1:9" ht="17.100000000000001" customHeight="1">
      <c r="A60" s="144"/>
      <c r="B60" s="91"/>
      <c r="C60" s="91"/>
      <c r="D60" s="91"/>
      <c r="E60" s="144"/>
      <c r="F60" s="144"/>
      <c r="G60" s="144"/>
      <c r="H60" s="144"/>
      <c r="I60" s="144"/>
    </row>
    <row r="61" spans="1:9" ht="17.100000000000001" customHeight="1">
      <c r="A61" s="144"/>
      <c r="B61" s="91"/>
      <c r="C61" s="91"/>
      <c r="D61" s="91"/>
      <c r="E61" s="144"/>
      <c r="F61" s="144"/>
      <c r="G61" s="144"/>
      <c r="H61" s="144"/>
      <c r="I61" s="144"/>
    </row>
    <row r="62" spans="1:9" ht="17.100000000000001" customHeight="1">
      <c r="A62" s="144"/>
      <c r="B62" s="91"/>
      <c r="C62" s="91"/>
      <c r="D62" s="91"/>
      <c r="E62" s="144"/>
      <c r="F62" s="144"/>
      <c r="G62" s="144"/>
      <c r="H62" s="144"/>
      <c r="I62" s="144"/>
    </row>
    <row r="63" spans="1:9" ht="17.100000000000001" customHeight="1">
      <c r="A63" s="144"/>
      <c r="B63" s="91"/>
      <c r="C63" s="91"/>
      <c r="D63" s="91"/>
      <c r="E63" s="144"/>
      <c r="F63" s="144"/>
      <c r="G63" s="144"/>
      <c r="H63" s="144"/>
      <c r="I63" s="144"/>
    </row>
    <row r="64" spans="1:9" ht="17.100000000000001" customHeight="1">
      <c r="A64" s="144"/>
      <c r="B64" s="91"/>
      <c r="C64" s="91"/>
      <c r="D64" s="91"/>
      <c r="E64" s="144"/>
      <c r="F64" s="144"/>
      <c r="G64" s="144"/>
      <c r="H64" s="144"/>
      <c r="I64" s="144"/>
    </row>
    <row r="65" spans="1:9" ht="17.100000000000001" customHeight="1">
      <c r="A65" s="144"/>
      <c r="B65" s="91"/>
      <c r="C65" s="91"/>
      <c r="D65" s="91"/>
      <c r="E65" s="144"/>
      <c r="F65" s="144"/>
      <c r="G65" s="144"/>
      <c r="H65" s="144"/>
      <c r="I65" s="144"/>
    </row>
    <row r="66" spans="1:9" ht="17.100000000000001" customHeight="1">
      <c r="A66" s="144"/>
      <c r="B66" s="91"/>
      <c r="C66" s="91"/>
      <c r="D66" s="91"/>
      <c r="E66" s="144"/>
      <c r="F66" s="144"/>
      <c r="G66" s="144"/>
      <c r="H66" s="144"/>
      <c r="I66" s="144"/>
    </row>
    <row r="67" spans="1:9" ht="17.100000000000001" customHeight="1">
      <c r="A67" s="144"/>
      <c r="B67" s="91"/>
      <c r="C67" s="91"/>
      <c r="D67" s="91"/>
      <c r="E67" s="144"/>
      <c r="F67" s="144"/>
      <c r="G67" s="144"/>
      <c r="H67" s="144"/>
      <c r="I67" s="144"/>
    </row>
    <row r="68" spans="1:9" ht="17.100000000000001" customHeight="1">
      <c r="A68" s="144"/>
      <c r="B68" s="91"/>
      <c r="C68" s="91"/>
      <c r="D68" s="91"/>
      <c r="E68" s="144"/>
      <c r="F68" s="144"/>
      <c r="G68" s="144"/>
      <c r="H68" s="144"/>
      <c r="I68" s="144"/>
    </row>
    <row r="69" spans="1:9" ht="17.100000000000001" customHeight="1"/>
    <row r="70" spans="1:9" ht="18" customHeight="1"/>
    <row r="71" spans="1:9" ht="18" customHeight="1"/>
    <row r="72" spans="1:9" ht="18" customHeight="1"/>
    <row r="73" spans="1:9" ht="18" customHeight="1"/>
    <row r="74" spans="1:9" ht="18" customHeight="1"/>
    <row r="75" spans="1:9" ht="18" customHeight="1"/>
  </sheetData>
  <mergeCells count="2">
    <mergeCell ref="H1:I1"/>
    <mergeCell ref="E1:F1"/>
  </mergeCells>
  <conditionalFormatting sqref="C5:E24">
    <cfRule type="expression" dxfId="1" priority="2">
      <formula>#REF!=1</formula>
    </cfRule>
  </conditionalFormatting>
  <conditionalFormatting sqref="C5:E24">
    <cfRule type="expression" dxfId="0" priority="1">
      <formula>#REF!="yes"</formula>
    </cfRule>
  </conditionalFormatting>
  <dataValidations count="1">
    <dataValidation type="list" allowBlank="1" showInputMessage="1" showErrorMessage="1" sqref="A43:A44 A48:A49 A53:A58 A62:A63 A67:A68 A23:A24 A32:A39">
      <formula1>Tools</formula1>
    </dataValidation>
  </dataValidations>
  <printOptions horizontalCentered="1" verticalCentered="1"/>
  <pageMargins left="0" right="0" top="0.25" bottom="0.2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6"/>
  <sheetViews>
    <sheetView topLeftCell="E1" workbookViewId="0">
      <selection activeCell="H2" sqref="H2"/>
    </sheetView>
  </sheetViews>
  <sheetFormatPr defaultRowHeight="12.75"/>
  <cols>
    <col min="1" max="1" width="22.7109375" style="13" customWidth="1"/>
    <col min="2" max="2" width="7.7109375" style="142" customWidth="1"/>
    <col min="3" max="3" width="41.7109375" style="142" customWidth="1"/>
    <col min="4" max="4" width="11.7109375" style="142" customWidth="1"/>
    <col min="5" max="8" width="10.7109375" style="143" customWidth="1"/>
    <col min="9" max="9" width="7.7109375" style="142" customWidth="1"/>
    <col min="10" max="16384" width="9.140625" style="13"/>
  </cols>
  <sheetData>
    <row r="1" spans="1:9" ht="30" customHeight="1">
      <c r="A1" s="6" t="s">
        <v>229</v>
      </c>
      <c r="B1" s="140"/>
      <c r="C1" s="140"/>
      <c r="D1" s="175" t="s">
        <v>230</v>
      </c>
      <c r="E1" s="175"/>
      <c r="F1" s="179" t="s">
        <v>20</v>
      </c>
      <c r="G1" s="179"/>
      <c r="H1" s="176">
        <v>42270</v>
      </c>
      <c r="I1" s="176"/>
    </row>
    <row r="2" spans="1:9" ht="6" customHeight="1">
      <c r="A2" s="9"/>
      <c r="B2" s="10"/>
      <c r="C2" s="10"/>
      <c r="D2" s="10"/>
      <c r="E2" s="11"/>
      <c r="F2" s="12"/>
      <c r="G2" s="12"/>
      <c r="H2" s="12"/>
      <c r="I2" s="10"/>
    </row>
    <row r="3" spans="1:9" ht="9" customHeight="1">
      <c r="A3" s="8"/>
      <c r="B3" s="2"/>
      <c r="C3" s="2"/>
      <c r="D3" s="2"/>
      <c r="E3" s="3"/>
      <c r="F3" s="3"/>
      <c r="G3" s="3"/>
      <c r="H3" s="3"/>
      <c r="I3" s="2"/>
    </row>
    <row r="4" spans="1:9" ht="33" customHeight="1">
      <c r="A4" s="4" t="s">
        <v>8</v>
      </c>
      <c r="B4" s="4" t="s">
        <v>39</v>
      </c>
      <c r="C4" s="4" t="s">
        <v>0</v>
      </c>
      <c r="D4" s="4" t="s">
        <v>1</v>
      </c>
      <c r="E4" s="5" t="s">
        <v>31</v>
      </c>
      <c r="F4" s="7" t="s">
        <v>91</v>
      </c>
      <c r="G4" s="5" t="s">
        <v>40</v>
      </c>
      <c r="H4" s="5" t="s">
        <v>7</v>
      </c>
      <c r="I4" s="4" t="s">
        <v>2</v>
      </c>
    </row>
    <row r="5" spans="1:9" ht="17.25" customHeight="1">
      <c r="A5" s="145" t="s">
        <v>251</v>
      </c>
      <c r="B5" s="146">
        <v>6301</v>
      </c>
      <c r="C5" s="146" t="s">
        <v>255</v>
      </c>
      <c r="D5" s="146" t="s">
        <v>254</v>
      </c>
      <c r="E5" s="147"/>
      <c r="F5" s="147"/>
      <c r="G5" s="147"/>
      <c r="H5" s="147">
        <v>5</v>
      </c>
      <c r="I5" s="146">
        <v>2.5</v>
      </c>
    </row>
    <row r="6" spans="1:9" ht="17.25" customHeight="1">
      <c r="A6" s="145" t="s">
        <v>259</v>
      </c>
      <c r="B6" s="146">
        <v>6401</v>
      </c>
      <c r="C6" s="146" t="s">
        <v>260</v>
      </c>
      <c r="D6" s="146" t="s">
        <v>261</v>
      </c>
      <c r="E6" s="147">
        <v>60</v>
      </c>
      <c r="F6" s="147">
        <v>0</v>
      </c>
      <c r="G6" s="147">
        <v>60</v>
      </c>
      <c r="H6" s="147">
        <v>70</v>
      </c>
      <c r="I6" s="146">
        <v>0</v>
      </c>
    </row>
    <row r="7" spans="1:9" ht="17.25" customHeight="1">
      <c r="A7" s="145" t="s">
        <v>252</v>
      </c>
      <c r="B7" s="146">
        <v>6501</v>
      </c>
      <c r="C7" s="146" t="s">
        <v>256</v>
      </c>
      <c r="D7" s="146" t="s">
        <v>257</v>
      </c>
      <c r="E7" s="147">
        <v>0</v>
      </c>
      <c r="F7" s="147">
        <v>0</v>
      </c>
      <c r="G7" s="147">
        <v>0</v>
      </c>
      <c r="H7" s="147">
        <v>400</v>
      </c>
      <c r="I7" s="146"/>
    </row>
    <row r="8" spans="1:9" ht="17.25" customHeight="1">
      <c r="A8" s="145" t="s">
        <v>253</v>
      </c>
      <c r="B8" s="146">
        <v>6601</v>
      </c>
      <c r="C8" s="146" t="s">
        <v>258</v>
      </c>
      <c r="D8" s="146" t="s">
        <v>257</v>
      </c>
      <c r="E8" s="147">
        <v>0</v>
      </c>
      <c r="F8" s="147">
        <v>0</v>
      </c>
      <c r="G8" s="147">
        <v>0</v>
      </c>
      <c r="H8" s="147">
        <v>200</v>
      </c>
      <c r="I8" s="146"/>
    </row>
    <row r="9" spans="1:9" ht="17.25" customHeight="1">
      <c r="A9" s="145"/>
      <c r="B9" s="146"/>
      <c r="C9" s="146"/>
      <c r="D9" s="146"/>
      <c r="E9" s="147"/>
      <c r="F9" s="147"/>
      <c r="G9" s="147"/>
      <c r="H9" s="147"/>
      <c r="I9" s="146"/>
    </row>
    <row r="10" spans="1:9" ht="17.25" customHeight="1">
      <c r="A10" s="145"/>
      <c r="B10" s="146"/>
      <c r="C10" s="146"/>
      <c r="D10" s="146"/>
      <c r="E10" s="147"/>
      <c r="F10" s="147"/>
      <c r="G10" s="147"/>
      <c r="H10" s="147"/>
      <c r="I10" s="146"/>
    </row>
    <row r="11" spans="1:9" ht="17.25" customHeight="1">
      <c r="A11" s="145"/>
      <c r="B11" s="146"/>
      <c r="C11" s="146"/>
      <c r="D11" s="146"/>
      <c r="E11" s="147"/>
      <c r="F11" s="147"/>
      <c r="G11" s="147"/>
      <c r="H11" s="147"/>
      <c r="I11" s="146"/>
    </row>
    <row r="12" spans="1:9" ht="17.25" customHeight="1">
      <c r="A12" s="145"/>
      <c r="B12" s="146"/>
      <c r="C12" s="146"/>
      <c r="D12" s="146"/>
      <c r="E12" s="147"/>
      <c r="F12" s="147"/>
      <c r="G12" s="147"/>
      <c r="H12" s="147"/>
      <c r="I12" s="146"/>
    </row>
    <row r="13" spans="1:9" ht="17.25" customHeight="1">
      <c r="A13" s="145"/>
      <c r="B13" s="146"/>
      <c r="C13" s="146"/>
      <c r="D13" s="146"/>
      <c r="E13" s="147"/>
      <c r="F13" s="147"/>
      <c r="G13" s="147"/>
      <c r="H13" s="147"/>
      <c r="I13" s="146"/>
    </row>
    <row r="14" spans="1:9" ht="17.25" customHeight="1">
      <c r="A14" s="145"/>
      <c r="B14" s="146"/>
      <c r="C14" s="146"/>
      <c r="D14" s="146"/>
      <c r="E14" s="147"/>
      <c r="F14" s="147"/>
      <c r="G14" s="147"/>
      <c r="H14" s="147"/>
      <c r="I14" s="146"/>
    </row>
    <row r="15" spans="1:9" ht="17.25" customHeight="1">
      <c r="A15" s="145"/>
      <c r="B15" s="146"/>
      <c r="C15" s="146"/>
      <c r="D15" s="146"/>
      <c r="E15" s="147"/>
      <c r="F15" s="147"/>
      <c r="G15" s="147"/>
      <c r="H15" s="147"/>
      <c r="I15" s="146"/>
    </row>
    <row r="16" spans="1:9" ht="17.25" customHeight="1">
      <c r="A16" s="145"/>
      <c r="B16" s="146"/>
      <c r="C16" s="146"/>
      <c r="D16" s="146"/>
      <c r="E16" s="147"/>
      <c r="F16" s="147"/>
      <c r="G16" s="147"/>
      <c r="H16" s="147"/>
      <c r="I16" s="146"/>
    </row>
    <row r="17" spans="1:9" ht="17.25" customHeight="1">
      <c r="A17" s="145"/>
      <c r="B17" s="146"/>
      <c r="C17" s="146"/>
      <c r="D17" s="146"/>
      <c r="E17" s="147"/>
      <c r="F17" s="147"/>
      <c r="G17" s="147"/>
      <c r="H17" s="147"/>
      <c r="I17" s="146"/>
    </row>
    <row r="18" spans="1:9" ht="17.25" customHeight="1">
      <c r="A18" s="145"/>
      <c r="B18" s="146"/>
      <c r="C18" s="146"/>
      <c r="D18" s="146"/>
      <c r="E18" s="147"/>
      <c r="F18" s="147"/>
      <c r="G18" s="147"/>
      <c r="H18" s="147"/>
      <c r="I18" s="146"/>
    </row>
    <row r="19" spans="1:9" ht="17.25" customHeight="1">
      <c r="A19" s="145"/>
      <c r="B19" s="146"/>
      <c r="C19" s="146"/>
      <c r="D19" s="146"/>
      <c r="E19" s="147"/>
      <c r="F19" s="147"/>
      <c r="G19" s="147"/>
      <c r="H19" s="147"/>
      <c r="I19" s="146"/>
    </row>
    <row r="20" spans="1:9" ht="17.25" customHeight="1">
      <c r="A20" s="145"/>
      <c r="B20" s="146"/>
      <c r="C20" s="146"/>
      <c r="D20" s="146"/>
      <c r="E20" s="147"/>
      <c r="F20" s="147"/>
      <c r="G20" s="147"/>
      <c r="H20" s="147"/>
      <c r="I20" s="146"/>
    </row>
    <row r="21" spans="1:9" ht="17.25" customHeight="1">
      <c r="A21" s="145"/>
      <c r="B21" s="146"/>
      <c r="C21" s="146"/>
      <c r="D21" s="146"/>
      <c r="E21" s="147"/>
      <c r="F21" s="147"/>
      <c r="G21" s="147"/>
      <c r="H21" s="147"/>
      <c r="I21" s="146"/>
    </row>
    <row r="22" spans="1:9" ht="17.25" customHeight="1">
      <c r="A22" s="145"/>
      <c r="B22" s="146"/>
      <c r="C22" s="146"/>
      <c r="D22" s="146"/>
      <c r="E22" s="147"/>
      <c r="F22" s="147"/>
      <c r="G22" s="147"/>
      <c r="H22" s="147"/>
      <c r="I22" s="146"/>
    </row>
    <row r="23" spans="1:9" ht="17.25" customHeight="1">
      <c r="A23" s="145"/>
      <c r="B23" s="146"/>
      <c r="C23" s="146"/>
      <c r="D23" s="146"/>
      <c r="E23" s="147"/>
      <c r="F23" s="147"/>
      <c r="G23" s="147"/>
      <c r="H23" s="147"/>
      <c r="I23" s="146"/>
    </row>
    <row r="24" spans="1:9" ht="17.25" customHeight="1">
      <c r="A24" s="145"/>
      <c r="B24" s="146"/>
      <c r="C24" s="146"/>
      <c r="D24" s="146"/>
      <c r="E24" s="147"/>
      <c r="F24" s="147"/>
      <c r="G24" s="147"/>
      <c r="H24" s="147"/>
      <c r="I24" s="146"/>
    </row>
    <row r="25" spans="1:9" ht="17.25" customHeight="1">
      <c r="A25" s="145"/>
      <c r="B25" s="146"/>
      <c r="C25" s="146"/>
      <c r="D25" s="146"/>
      <c r="E25" s="147"/>
      <c r="F25" s="147"/>
      <c r="G25" s="147"/>
      <c r="H25" s="147"/>
      <c r="I25" s="146"/>
    </row>
    <row r="26" spans="1:9" ht="17.25" customHeight="1">
      <c r="A26" s="145"/>
      <c r="B26" s="146"/>
      <c r="C26" s="146"/>
      <c r="D26" s="146"/>
      <c r="E26" s="147"/>
      <c r="F26" s="147"/>
      <c r="G26" s="147"/>
      <c r="H26" s="147"/>
      <c r="I26" s="146"/>
    </row>
    <row r="27" spans="1:9" ht="17.25" customHeight="1">
      <c r="A27" s="145"/>
      <c r="B27" s="146"/>
      <c r="C27" s="146"/>
      <c r="D27" s="146"/>
      <c r="E27" s="147"/>
      <c r="F27" s="147"/>
      <c r="G27" s="147"/>
      <c r="H27" s="147"/>
      <c r="I27" s="146"/>
    </row>
    <row r="28" spans="1:9" ht="17.25" customHeight="1">
      <c r="A28" s="145"/>
      <c r="B28" s="146"/>
      <c r="C28" s="146"/>
      <c r="D28" s="146"/>
      <c r="E28" s="147"/>
      <c r="F28" s="147"/>
      <c r="G28" s="147"/>
      <c r="H28" s="147"/>
      <c r="I28" s="146"/>
    </row>
    <row r="29" spans="1:9" ht="17.25" customHeight="1">
      <c r="A29" s="145"/>
      <c r="B29" s="146"/>
      <c r="C29" s="146"/>
      <c r="D29" s="146"/>
      <c r="E29" s="147"/>
      <c r="F29" s="147"/>
      <c r="G29" s="147"/>
      <c r="H29" s="147"/>
      <c r="I29" s="146"/>
    </row>
    <row r="30" spans="1:9" ht="17.25" customHeight="1">
      <c r="A30" s="145"/>
      <c r="B30" s="146"/>
      <c r="C30" s="146"/>
      <c r="D30" s="146"/>
      <c r="E30" s="147"/>
      <c r="F30" s="147"/>
      <c r="G30" s="147"/>
      <c r="H30" s="147"/>
      <c r="I30" s="146"/>
    </row>
    <row r="31" spans="1:9" ht="17.25" customHeight="1">
      <c r="A31" s="145"/>
      <c r="B31" s="146"/>
      <c r="C31" s="146"/>
      <c r="D31" s="146"/>
      <c r="E31" s="147"/>
      <c r="F31" s="147"/>
      <c r="G31" s="147"/>
      <c r="H31" s="147"/>
      <c r="I31" s="146"/>
    </row>
    <row r="32" spans="1:9" ht="17.25" customHeight="1">
      <c r="A32" s="145"/>
      <c r="B32" s="146"/>
      <c r="C32" s="146"/>
      <c r="D32" s="146"/>
      <c r="E32" s="147"/>
      <c r="F32" s="147"/>
      <c r="G32" s="147"/>
      <c r="H32" s="147"/>
      <c r="I32" s="146"/>
    </row>
    <row r="33" spans="1:9" ht="17.25" customHeight="1">
      <c r="A33" s="145"/>
      <c r="B33" s="146"/>
      <c r="C33" s="146"/>
      <c r="D33" s="146"/>
      <c r="E33" s="147"/>
      <c r="F33" s="147"/>
      <c r="G33" s="147"/>
      <c r="H33" s="147"/>
      <c r="I33" s="146"/>
    </row>
    <row r="34" spans="1:9" ht="17.25" customHeight="1"/>
    <row r="35" spans="1:9" ht="17.100000000000001" customHeight="1"/>
    <row r="36" spans="1:9" ht="17.100000000000001" customHeight="1"/>
  </sheetData>
  <mergeCells count="3">
    <mergeCell ref="F1:G1"/>
    <mergeCell ref="H1:I1"/>
    <mergeCell ref="D1:E1"/>
  </mergeCells>
  <printOptions horizontalCentered="1" verticalCentered="1"/>
  <pageMargins left="0" right="0" top="0.25" bottom="0.2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V46"/>
  <sheetViews>
    <sheetView workbookViewId="0">
      <selection activeCell="B14" sqref="B14"/>
    </sheetView>
  </sheetViews>
  <sheetFormatPr defaultRowHeight="15"/>
  <cols>
    <col min="1" max="1" width="1.7109375" style="16" customWidth="1"/>
    <col min="2" max="2" width="36.7109375" style="16" customWidth="1"/>
    <col min="3" max="3" width="11.7109375" style="19" customWidth="1"/>
    <col min="4" max="4" width="1.7109375" style="16" customWidth="1"/>
    <col min="5" max="5" width="38.7109375" style="16" customWidth="1"/>
    <col min="6" max="6" width="11.7109375" style="19" customWidth="1"/>
    <col min="7" max="8" width="1.7109375" style="19" customWidth="1"/>
    <col min="9" max="9" width="36.7109375" style="16" customWidth="1"/>
    <col min="10" max="10" width="12.7109375" style="16" customWidth="1"/>
    <col min="11" max="11" width="1.7109375" style="16" customWidth="1"/>
    <col min="12" max="12" width="36.7109375" style="16" customWidth="1"/>
    <col min="13" max="13" width="12.7109375" style="16" customWidth="1"/>
    <col min="14" max="15" width="1.7109375" style="85" customWidth="1"/>
    <col min="16" max="16" width="36.7109375" style="16" customWidth="1"/>
    <col min="17" max="17" width="12.7109375" style="16" customWidth="1"/>
    <col min="18" max="18" width="1.7109375" style="16" customWidth="1"/>
    <col min="19" max="19" width="36.7109375" style="16" customWidth="1"/>
    <col min="20" max="20" width="12.7109375" style="16" customWidth="1"/>
    <col min="21" max="22" width="1.7109375" style="83" customWidth="1"/>
    <col min="23" max="16384" width="9.140625" style="16"/>
  </cols>
  <sheetData>
    <row r="1" spans="2:22" s="15" customFormat="1" ht="30" customHeight="1">
      <c r="B1" s="188" t="s">
        <v>102</v>
      </c>
      <c r="C1" s="188"/>
      <c r="D1" s="188"/>
      <c r="E1" s="188"/>
      <c r="F1" s="188"/>
      <c r="G1" s="73"/>
      <c r="H1" s="68"/>
      <c r="I1" s="180" t="s">
        <v>102</v>
      </c>
      <c r="J1" s="180"/>
      <c r="K1" s="180"/>
      <c r="L1" s="180"/>
      <c r="M1" s="180"/>
      <c r="N1" s="84"/>
      <c r="O1" s="84"/>
      <c r="P1" s="180" t="s">
        <v>102</v>
      </c>
      <c r="Q1" s="180"/>
      <c r="R1" s="180"/>
      <c r="S1" s="180"/>
      <c r="T1" s="180"/>
      <c r="U1" s="82"/>
      <c r="V1" s="82"/>
    </row>
    <row r="2" spans="2:22" ht="6" customHeight="1">
      <c r="B2" s="28"/>
      <c r="C2" s="29"/>
      <c r="D2" s="28"/>
      <c r="E2" s="28"/>
      <c r="F2" s="29"/>
      <c r="G2" s="74"/>
      <c r="H2" s="69"/>
      <c r="I2" s="58"/>
      <c r="J2" s="58"/>
      <c r="K2" s="58"/>
      <c r="L2" s="58"/>
      <c r="M2" s="58"/>
      <c r="P2" s="181"/>
      <c r="Q2" s="181"/>
      <c r="R2" s="181"/>
      <c r="S2" s="181"/>
      <c r="T2" s="181"/>
      <c r="U2" s="74"/>
      <c r="V2" s="74"/>
    </row>
    <row r="3" spans="2:22" ht="6" customHeight="1" thickBot="1">
      <c r="G3" s="74"/>
      <c r="H3" s="69"/>
    </row>
    <row r="4" spans="2:22" ht="24.95" customHeight="1" thickBot="1">
      <c r="B4" s="186" t="s">
        <v>110</v>
      </c>
      <c r="C4" s="187"/>
      <c r="E4" s="189" t="s">
        <v>116</v>
      </c>
      <c r="F4" s="190"/>
      <c r="G4" s="70"/>
      <c r="H4" s="70"/>
      <c r="I4" s="191" t="s">
        <v>138</v>
      </c>
      <c r="J4" s="192"/>
      <c r="L4" s="193" t="s">
        <v>139</v>
      </c>
      <c r="M4" s="194"/>
      <c r="N4" s="70"/>
      <c r="O4" s="70"/>
      <c r="P4" s="182" t="s">
        <v>183</v>
      </c>
      <c r="Q4" s="183"/>
      <c r="R4" s="61"/>
      <c r="S4" s="184" t="s">
        <v>182</v>
      </c>
      <c r="T4" s="185"/>
      <c r="U4" s="70"/>
      <c r="V4" s="70"/>
    </row>
    <row r="5" spans="2:22" ht="6" customHeight="1" thickBot="1">
      <c r="B5" s="20"/>
      <c r="C5" s="23"/>
      <c r="E5" s="20"/>
      <c r="F5" s="23"/>
      <c r="G5" s="69"/>
      <c r="H5" s="69"/>
      <c r="I5" s="20"/>
      <c r="J5" s="21"/>
      <c r="L5" s="20"/>
      <c r="M5" s="21"/>
      <c r="P5" s="67"/>
      <c r="Q5" s="21"/>
      <c r="S5" s="20"/>
      <c r="T5" s="21"/>
      <c r="U5" s="85"/>
      <c r="V5" s="85"/>
    </row>
    <row r="6" spans="2:22" ht="15.75">
      <c r="B6" s="30" t="s">
        <v>109</v>
      </c>
      <c r="C6" s="119">
        <v>1000</v>
      </c>
      <c r="E6" s="30" t="s">
        <v>103</v>
      </c>
      <c r="F6" s="75">
        <v>2000</v>
      </c>
      <c r="G6" s="71"/>
      <c r="H6" s="71"/>
      <c r="I6" s="76" t="s">
        <v>140</v>
      </c>
      <c r="J6" s="125">
        <v>3000</v>
      </c>
      <c r="K6" s="59"/>
      <c r="L6" s="76" t="s">
        <v>173</v>
      </c>
      <c r="M6" s="129">
        <v>4000</v>
      </c>
      <c r="N6" s="71"/>
      <c r="O6" s="71"/>
      <c r="P6" s="76" t="s">
        <v>184</v>
      </c>
      <c r="Q6" s="62">
        <v>5000</v>
      </c>
      <c r="S6" s="76" t="s">
        <v>206</v>
      </c>
      <c r="T6" s="148">
        <v>6000</v>
      </c>
      <c r="U6" s="71"/>
      <c r="V6" s="71"/>
    </row>
    <row r="7" spans="2:22">
      <c r="B7" s="53" t="s">
        <v>121</v>
      </c>
      <c r="C7" s="120">
        <v>1001</v>
      </c>
      <c r="E7" s="54" t="s">
        <v>84</v>
      </c>
      <c r="F7" s="56">
        <v>2001</v>
      </c>
      <c r="G7" s="72"/>
      <c r="H7" s="72"/>
      <c r="I7" s="77" t="s">
        <v>148</v>
      </c>
      <c r="J7" s="126">
        <v>3001</v>
      </c>
      <c r="K7" s="59"/>
      <c r="L7" s="77"/>
      <c r="M7" s="130"/>
      <c r="N7" s="72"/>
      <c r="O7" s="72"/>
      <c r="P7" s="88" t="s">
        <v>187</v>
      </c>
      <c r="Q7" s="63">
        <v>5001</v>
      </c>
      <c r="S7" s="86"/>
      <c r="T7" s="149"/>
      <c r="U7" s="85"/>
      <c r="V7" s="85"/>
    </row>
    <row r="8" spans="2:22" ht="15.75">
      <c r="B8" s="53"/>
      <c r="C8" s="120">
        <v>1002</v>
      </c>
      <c r="E8" s="54"/>
      <c r="F8" s="56">
        <v>2002</v>
      </c>
      <c r="G8" s="72"/>
      <c r="H8" s="72"/>
      <c r="I8" s="78" t="s">
        <v>141</v>
      </c>
      <c r="J8" s="127">
        <v>3100</v>
      </c>
      <c r="K8" s="59"/>
      <c r="L8" s="77"/>
      <c r="M8" s="130"/>
      <c r="N8" s="72"/>
      <c r="O8" s="72"/>
      <c r="P8" s="88" t="s">
        <v>188</v>
      </c>
      <c r="Q8" s="63">
        <v>5002</v>
      </c>
      <c r="S8" s="86"/>
      <c r="T8" s="149"/>
      <c r="U8" s="85"/>
      <c r="V8" s="85"/>
    </row>
    <row r="9" spans="2:22" ht="15.75">
      <c r="B9" s="54"/>
      <c r="C9" s="121">
        <v>1003</v>
      </c>
      <c r="E9" s="24" t="s">
        <v>104</v>
      </c>
      <c r="F9" s="26">
        <v>2100</v>
      </c>
      <c r="G9" s="71"/>
      <c r="H9" s="71"/>
      <c r="I9" s="77" t="s">
        <v>149</v>
      </c>
      <c r="J9" s="126">
        <v>3101</v>
      </c>
      <c r="K9" s="59"/>
      <c r="L9" s="78" t="s">
        <v>174</v>
      </c>
      <c r="M9" s="131">
        <v>4100</v>
      </c>
      <c r="N9" s="71"/>
      <c r="O9" s="71"/>
      <c r="P9" s="88" t="s">
        <v>189</v>
      </c>
      <c r="Q9" s="63">
        <v>5003</v>
      </c>
      <c r="S9" s="78" t="s">
        <v>207</v>
      </c>
      <c r="T9" s="150">
        <v>6100</v>
      </c>
      <c r="U9" s="71"/>
      <c r="V9" s="71"/>
    </row>
    <row r="10" spans="2:22">
      <c r="B10" s="54"/>
      <c r="C10" s="121">
        <v>1004</v>
      </c>
      <c r="E10" s="54" t="s">
        <v>133</v>
      </c>
      <c r="F10" s="56">
        <v>2101</v>
      </c>
      <c r="G10" s="72"/>
      <c r="H10" s="72"/>
      <c r="I10" s="77"/>
      <c r="J10" s="126">
        <v>3102</v>
      </c>
      <c r="K10" s="59"/>
      <c r="L10" s="77"/>
      <c r="M10" s="130"/>
      <c r="N10" s="72"/>
      <c r="O10" s="72"/>
      <c r="P10" s="88" t="s">
        <v>190</v>
      </c>
      <c r="Q10" s="63">
        <v>5004</v>
      </c>
      <c r="S10" s="86"/>
      <c r="T10" s="149"/>
      <c r="U10" s="85"/>
      <c r="V10" s="85"/>
    </row>
    <row r="11" spans="2:22" ht="15.75">
      <c r="B11" s="24" t="s">
        <v>114</v>
      </c>
      <c r="C11" s="122">
        <v>1100</v>
      </c>
      <c r="E11" s="54" t="s">
        <v>134</v>
      </c>
      <c r="F11" s="56">
        <v>2102</v>
      </c>
      <c r="G11" s="72"/>
      <c r="H11" s="72"/>
      <c r="I11" s="78" t="s">
        <v>142</v>
      </c>
      <c r="J11" s="127">
        <v>3200</v>
      </c>
      <c r="K11" s="59"/>
      <c r="L11" s="77"/>
      <c r="M11" s="130"/>
      <c r="N11" s="72"/>
      <c r="O11" s="72"/>
      <c r="P11" s="88" t="s">
        <v>191</v>
      </c>
      <c r="Q11" s="63">
        <v>5005</v>
      </c>
      <c r="S11" s="86"/>
      <c r="T11" s="149"/>
      <c r="U11" s="85"/>
      <c r="V11" s="85"/>
    </row>
    <row r="12" spans="2:22" ht="15.75">
      <c r="B12" s="54" t="s">
        <v>385</v>
      </c>
      <c r="C12" s="121">
        <v>1101</v>
      </c>
      <c r="E12" s="24" t="s">
        <v>105</v>
      </c>
      <c r="F12" s="26">
        <v>2200</v>
      </c>
      <c r="G12" s="71"/>
      <c r="H12" s="71"/>
      <c r="I12" s="77" t="s">
        <v>150</v>
      </c>
      <c r="J12" s="126">
        <v>3201</v>
      </c>
      <c r="K12" s="59"/>
      <c r="L12" s="78" t="s">
        <v>175</v>
      </c>
      <c r="M12" s="131">
        <v>4200</v>
      </c>
      <c r="N12" s="71"/>
      <c r="O12" s="71"/>
      <c r="P12" s="88" t="s">
        <v>192</v>
      </c>
      <c r="Q12" s="63">
        <v>5006</v>
      </c>
      <c r="S12" s="78" t="s">
        <v>208</v>
      </c>
      <c r="T12" s="150">
        <v>6200</v>
      </c>
      <c r="U12" s="71"/>
      <c r="V12" s="71"/>
    </row>
    <row r="13" spans="2:22">
      <c r="B13" s="54" t="s">
        <v>386</v>
      </c>
      <c r="C13" s="121">
        <v>1102</v>
      </c>
      <c r="E13" s="17"/>
      <c r="F13" s="25"/>
      <c r="G13" s="69"/>
      <c r="H13" s="69"/>
      <c r="I13" s="77" t="s">
        <v>151</v>
      </c>
      <c r="J13" s="126">
        <v>3202</v>
      </c>
      <c r="K13" s="59"/>
      <c r="L13" s="77"/>
      <c r="M13" s="130"/>
      <c r="N13" s="72"/>
      <c r="O13" s="72"/>
      <c r="P13" s="88" t="s">
        <v>193</v>
      </c>
      <c r="Q13" s="63">
        <v>5007</v>
      </c>
      <c r="S13" s="86"/>
      <c r="T13" s="149"/>
      <c r="U13" s="85"/>
      <c r="V13" s="85"/>
    </row>
    <row r="14" spans="2:22">
      <c r="B14" s="54"/>
      <c r="C14" s="121">
        <v>1103</v>
      </c>
      <c r="E14" s="17"/>
      <c r="F14" s="25"/>
      <c r="G14" s="69"/>
      <c r="H14" s="69"/>
      <c r="I14" s="77" t="s">
        <v>152</v>
      </c>
      <c r="J14" s="126">
        <v>3203</v>
      </c>
      <c r="K14" s="59"/>
      <c r="L14" s="77"/>
      <c r="M14" s="130"/>
      <c r="N14" s="72"/>
      <c r="O14" s="72"/>
      <c r="P14" s="88" t="s">
        <v>194</v>
      </c>
      <c r="Q14" s="63">
        <v>5008</v>
      </c>
      <c r="S14" s="86"/>
      <c r="T14" s="149"/>
      <c r="U14" s="85"/>
      <c r="V14" s="85"/>
    </row>
    <row r="15" spans="2:22" ht="15.75">
      <c r="B15" s="54"/>
      <c r="C15" s="121">
        <v>1104</v>
      </c>
      <c r="E15" s="24" t="s">
        <v>107</v>
      </c>
      <c r="F15" s="26">
        <v>2300</v>
      </c>
      <c r="G15" s="71"/>
      <c r="H15" s="71"/>
      <c r="I15" s="77" t="s">
        <v>153</v>
      </c>
      <c r="J15" s="126">
        <v>3204</v>
      </c>
      <c r="K15" s="59"/>
      <c r="L15" s="78" t="s">
        <v>176</v>
      </c>
      <c r="M15" s="131">
        <v>4300</v>
      </c>
      <c r="N15" s="71"/>
      <c r="O15" s="71"/>
      <c r="P15" s="88" t="s">
        <v>195</v>
      </c>
      <c r="Q15" s="63">
        <v>5009</v>
      </c>
      <c r="S15" s="78" t="s">
        <v>242</v>
      </c>
      <c r="T15" s="150">
        <v>6300</v>
      </c>
      <c r="U15" s="71"/>
      <c r="V15" s="71"/>
    </row>
    <row r="16" spans="2:22" ht="15.75">
      <c r="B16" s="51" t="s">
        <v>115</v>
      </c>
      <c r="C16" s="122">
        <v>1200</v>
      </c>
      <c r="E16" s="17"/>
      <c r="F16" s="25"/>
      <c r="G16" s="69"/>
      <c r="H16" s="69"/>
      <c r="I16" s="77" t="s">
        <v>238</v>
      </c>
      <c r="J16" s="126">
        <v>3205</v>
      </c>
      <c r="K16" s="59"/>
      <c r="L16" s="80" t="s">
        <v>181</v>
      </c>
      <c r="M16" s="130">
        <v>4301</v>
      </c>
      <c r="N16" s="72"/>
      <c r="O16" s="72"/>
      <c r="P16" s="88" t="s">
        <v>196</v>
      </c>
      <c r="Q16" s="63">
        <v>5010</v>
      </c>
      <c r="S16" s="88" t="s">
        <v>245</v>
      </c>
      <c r="T16" s="151">
        <v>6301</v>
      </c>
      <c r="U16" s="85"/>
      <c r="V16" s="85"/>
    </row>
    <row r="17" spans="2:22" ht="15.75">
      <c r="B17" s="52" t="s">
        <v>122</v>
      </c>
      <c r="C17" s="121">
        <v>1201</v>
      </c>
      <c r="E17" s="17"/>
      <c r="F17" s="25"/>
      <c r="G17" s="69"/>
      <c r="H17" s="69"/>
      <c r="I17" s="78" t="s">
        <v>143</v>
      </c>
      <c r="J17" s="127">
        <v>3300</v>
      </c>
      <c r="K17" s="59"/>
      <c r="L17" s="77"/>
      <c r="M17" s="130"/>
      <c r="N17" s="72"/>
      <c r="O17" s="72"/>
      <c r="P17" s="88" t="s">
        <v>197</v>
      </c>
      <c r="Q17" s="63">
        <v>5011</v>
      </c>
      <c r="S17" s="86"/>
      <c r="T17" s="151"/>
      <c r="U17" s="85"/>
      <c r="V17" s="85"/>
    </row>
    <row r="18" spans="2:22" ht="15.75">
      <c r="B18" s="52" t="s">
        <v>123</v>
      </c>
      <c r="C18" s="121">
        <v>1202</v>
      </c>
      <c r="E18" s="24" t="s">
        <v>117</v>
      </c>
      <c r="F18" s="26">
        <v>2400</v>
      </c>
      <c r="G18" s="71"/>
      <c r="H18" s="71"/>
      <c r="I18" s="77" t="s">
        <v>154</v>
      </c>
      <c r="J18" s="126">
        <v>3301</v>
      </c>
      <c r="K18" s="59"/>
      <c r="L18" s="78" t="s">
        <v>177</v>
      </c>
      <c r="M18" s="131">
        <v>4400</v>
      </c>
      <c r="N18" s="71"/>
      <c r="O18" s="71"/>
      <c r="P18" s="88" t="s">
        <v>198</v>
      </c>
      <c r="Q18" s="63">
        <v>5012</v>
      </c>
      <c r="S18" s="78" t="s">
        <v>243</v>
      </c>
      <c r="T18" s="150">
        <v>6400</v>
      </c>
      <c r="U18" s="71"/>
      <c r="V18" s="71"/>
    </row>
    <row r="19" spans="2:22">
      <c r="B19" s="52" t="s">
        <v>124</v>
      </c>
      <c r="C19" s="121">
        <v>1203</v>
      </c>
      <c r="E19" s="17"/>
      <c r="F19" s="25"/>
      <c r="G19" s="69"/>
      <c r="H19" s="69"/>
      <c r="I19" s="77" t="s">
        <v>155</v>
      </c>
      <c r="J19" s="126">
        <v>3302</v>
      </c>
      <c r="K19" s="59"/>
      <c r="L19" s="77"/>
      <c r="M19" s="130"/>
      <c r="N19" s="72"/>
      <c r="O19" s="72"/>
      <c r="P19" s="88" t="s">
        <v>199</v>
      </c>
      <c r="Q19" s="63">
        <v>5013</v>
      </c>
      <c r="S19" s="86" t="s">
        <v>246</v>
      </c>
      <c r="T19" s="151">
        <v>6401</v>
      </c>
      <c r="U19" s="85"/>
      <c r="V19" s="85"/>
    </row>
    <row r="20" spans="2:22">
      <c r="B20" s="52" t="s">
        <v>125</v>
      </c>
      <c r="C20" s="121">
        <v>1204</v>
      </c>
      <c r="E20" s="17"/>
      <c r="F20" s="25"/>
      <c r="G20" s="69"/>
      <c r="H20" s="69"/>
      <c r="I20" s="77"/>
      <c r="J20" s="126">
        <v>3303</v>
      </c>
      <c r="K20" s="59"/>
      <c r="L20" s="77"/>
      <c r="M20" s="130"/>
      <c r="N20" s="72"/>
      <c r="O20" s="72"/>
      <c r="P20" s="88" t="s">
        <v>200</v>
      </c>
      <c r="Q20" s="63">
        <v>5014</v>
      </c>
      <c r="S20" s="86"/>
      <c r="T20" s="151"/>
      <c r="U20" s="85"/>
      <c r="V20" s="85"/>
    </row>
    <row r="21" spans="2:22" ht="15.75">
      <c r="B21" s="52" t="s">
        <v>126</v>
      </c>
      <c r="C21" s="121">
        <v>1205</v>
      </c>
      <c r="E21" s="24" t="s">
        <v>108</v>
      </c>
      <c r="F21" s="26">
        <v>2500</v>
      </c>
      <c r="G21" s="71"/>
      <c r="H21" s="71"/>
      <c r="I21" s="78" t="s">
        <v>144</v>
      </c>
      <c r="J21" s="127">
        <v>3400</v>
      </c>
      <c r="K21" s="59"/>
      <c r="L21" s="78" t="s">
        <v>178</v>
      </c>
      <c r="M21" s="131">
        <v>4500</v>
      </c>
      <c r="N21" s="71"/>
      <c r="O21" s="71"/>
      <c r="P21" s="88" t="s">
        <v>201</v>
      </c>
      <c r="Q21" s="63">
        <v>5015</v>
      </c>
      <c r="S21" s="78" t="s">
        <v>244</v>
      </c>
      <c r="T21" s="150">
        <v>6500</v>
      </c>
      <c r="U21" s="71"/>
      <c r="V21" s="71"/>
    </row>
    <row r="22" spans="2:22" ht="15.75">
      <c r="B22" s="52" t="s">
        <v>127</v>
      </c>
      <c r="C22" s="121">
        <v>1206</v>
      </c>
      <c r="E22" s="54" t="s">
        <v>136</v>
      </c>
      <c r="F22" s="56">
        <v>2501</v>
      </c>
      <c r="G22" s="72"/>
      <c r="H22" s="72"/>
      <c r="I22" s="77"/>
      <c r="J22" s="126"/>
      <c r="K22" s="59"/>
      <c r="L22" s="77"/>
      <c r="M22" s="130"/>
      <c r="N22" s="72"/>
      <c r="O22" s="72"/>
      <c r="P22" s="78" t="s">
        <v>185</v>
      </c>
      <c r="Q22" s="64">
        <v>5100</v>
      </c>
      <c r="S22" s="86" t="s">
        <v>247</v>
      </c>
      <c r="T22" s="151">
        <v>6501</v>
      </c>
      <c r="U22" s="85"/>
      <c r="V22" s="85"/>
    </row>
    <row r="23" spans="2:22" ht="15.75">
      <c r="B23" s="54" t="s">
        <v>128</v>
      </c>
      <c r="C23" s="121">
        <v>1207</v>
      </c>
      <c r="E23" s="54" t="s">
        <v>135</v>
      </c>
      <c r="F23" s="56">
        <v>2502</v>
      </c>
      <c r="G23" s="72"/>
      <c r="H23" s="72"/>
      <c r="I23" s="78" t="s">
        <v>145</v>
      </c>
      <c r="J23" s="127">
        <v>3500</v>
      </c>
      <c r="K23" s="59"/>
      <c r="L23" s="77"/>
      <c r="M23" s="130"/>
      <c r="N23" s="72"/>
      <c r="O23" s="72"/>
      <c r="P23" s="80" t="s">
        <v>202</v>
      </c>
      <c r="Q23" s="63">
        <v>5101</v>
      </c>
      <c r="S23" s="86"/>
      <c r="T23" s="151"/>
      <c r="U23" s="85"/>
      <c r="V23" s="85"/>
    </row>
    <row r="24" spans="2:22" ht="15.75">
      <c r="B24" s="55"/>
      <c r="C24" s="121">
        <v>1208</v>
      </c>
      <c r="E24" s="54" t="s">
        <v>137</v>
      </c>
      <c r="F24" s="56" t="s">
        <v>250</v>
      </c>
      <c r="G24" s="72"/>
      <c r="H24" s="72"/>
      <c r="I24" s="77" t="s">
        <v>156</v>
      </c>
      <c r="J24" s="126">
        <v>3501</v>
      </c>
      <c r="K24" s="59"/>
      <c r="L24" s="78" t="s">
        <v>179</v>
      </c>
      <c r="M24" s="131">
        <v>4600</v>
      </c>
      <c r="N24" s="71"/>
      <c r="O24" s="71"/>
      <c r="P24" s="77" t="s">
        <v>203</v>
      </c>
      <c r="Q24" s="63">
        <v>5102</v>
      </c>
      <c r="S24" s="86"/>
      <c r="T24" s="150">
        <v>6600</v>
      </c>
      <c r="U24" s="71"/>
      <c r="V24" s="71"/>
    </row>
    <row r="25" spans="2:22" ht="15.75">
      <c r="B25" s="24" t="s">
        <v>112</v>
      </c>
      <c r="C25" s="122">
        <v>1300</v>
      </c>
      <c r="E25" s="54"/>
      <c r="F25" s="56">
        <v>2504</v>
      </c>
      <c r="G25" s="72"/>
      <c r="H25" s="72"/>
      <c r="I25" s="77" t="s">
        <v>157</v>
      </c>
      <c r="J25" s="126">
        <v>3502</v>
      </c>
      <c r="K25" s="59"/>
      <c r="L25" s="77"/>
      <c r="M25" s="130"/>
      <c r="N25" s="72"/>
      <c r="O25" s="72"/>
      <c r="P25" s="77" t="s">
        <v>204</v>
      </c>
      <c r="Q25" s="63">
        <v>5103</v>
      </c>
      <c r="S25" s="86"/>
      <c r="T25" s="149"/>
      <c r="U25" s="85"/>
      <c r="V25" s="85"/>
    </row>
    <row r="26" spans="2:22" ht="15.75">
      <c r="B26" s="54" t="s">
        <v>129</v>
      </c>
      <c r="C26" s="121">
        <v>1301</v>
      </c>
      <c r="E26" s="24" t="s">
        <v>118</v>
      </c>
      <c r="F26" s="26">
        <v>2600</v>
      </c>
      <c r="G26" s="71"/>
      <c r="H26" s="71"/>
      <c r="I26" s="77" t="s">
        <v>158</v>
      </c>
      <c r="J26" s="126">
        <v>3503</v>
      </c>
      <c r="K26" s="59"/>
      <c r="L26" s="77"/>
      <c r="M26" s="130"/>
      <c r="N26" s="72"/>
      <c r="O26" s="72"/>
      <c r="P26" s="77" t="s">
        <v>240</v>
      </c>
      <c r="Q26" s="63">
        <v>5104</v>
      </c>
      <c r="S26" s="86"/>
      <c r="T26" s="149"/>
      <c r="U26" s="85"/>
      <c r="V26" s="85"/>
    </row>
    <row r="27" spans="2:22" ht="15.75">
      <c r="B27" s="54" t="s">
        <v>130</v>
      </c>
      <c r="C27" s="121">
        <v>1302</v>
      </c>
      <c r="E27" s="54"/>
      <c r="F27" s="56">
        <v>2601</v>
      </c>
      <c r="G27" s="72"/>
      <c r="H27" s="72"/>
      <c r="I27" s="77" t="s">
        <v>159</v>
      </c>
      <c r="J27" s="126">
        <v>3504</v>
      </c>
      <c r="K27" s="59"/>
      <c r="L27" s="78" t="s">
        <v>180</v>
      </c>
      <c r="M27" s="131">
        <v>4700</v>
      </c>
      <c r="N27" s="71"/>
      <c r="O27" s="71"/>
      <c r="P27" s="78" t="s">
        <v>186</v>
      </c>
      <c r="Q27" s="64">
        <v>5200</v>
      </c>
      <c r="S27" s="86"/>
      <c r="T27" s="150">
        <v>6700</v>
      </c>
      <c r="U27" s="71"/>
      <c r="V27" s="71"/>
    </row>
    <row r="28" spans="2:22" ht="15.75">
      <c r="B28" s="54" t="s">
        <v>131</v>
      </c>
      <c r="C28" s="121">
        <v>1303</v>
      </c>
      <c r="E28" s="54"/>
      <c r="F28" s="56">
        <v>2602</v>
      </c>
      <c r="G28" s="72"/>
      <c r="H28" s="72"/>
      <c r="I28" s="78" t="s">
        <v>146</v>
      </c>
      <c r="J28" s="127">
        <v>3600</v>
      </c>
      <c r="K28" s="59"/>
      <c r="L28" s="77"/>
      <c r="M28" s="130"/>
      <c r="N28" s="72"/>
      <c r="O28" s="72"/>
      <c r="P28" s="77" t="s">
        <v>205</v>
      </c>
      <c r="Q28" s="63">
        <v>5201</v>
      </c>
      <c r="S28" s="86"/>
      <c r="T28" s="149"/>
      <c r="U28" s="85"/>
      <c r="V28" s="85"/>
    </row>
    <row r="29" spans="2:22" ht="15.75">
      <c r="B29" s="24" t="s">
        <v>111</v>
      </c>
      <c r="C29" s="122">
        <v>1400</v>
      </c>
      <c r="E29" s="24" t="s">
        <v>119</v>
      </c>
      <c r="F29" s="26">
        <v>2700</v>
      </c>
      <c r="G29" s="71"/>
      <c r="H29" s="71"/>
      <c r="I29" s="77" t="s">
        <v>160</v>
      </c>
      <c r="J29" s="126">
        <v>3601</v>
      </c>
      <c r="K29" s="59"/>
      <c r="L29" s="77"/>
      <c r="M29" s="130"/>
      <c r="N29" s="72"/>
      <c r="O29" s="72"/>
      <c r="P29" s="77"/>
      <c r="Q29" s="63">
        <v>5202</v>
      </c>
      <c r="S29" s="86"/>
      <c r="T29" s="149"/>
      <c r="U29" s="85"/>
      <c r="V29" s="85"/>
    </row>
    <row r="30" spans="2:22" ht="15.75">
      <c r="B30" s="54" t="s">
        <v>106</v>
      </c>
      <c r="C30" s="121">
        <v>1401</v>
      </c>
      <c r="E30" s="54"/>
      <c r="F30" s="56">
        <v>2701</v>
      </c>
      <c r="G30" s="72"/>
      <c r="H30" s="72"/>
      <c r="I30" s="77" t="s">
        <v>161</v>
      </c>
      <c r="J30" s="126">
        <v>3602</v>
      </c>
      <c r="K30" s="59"/>
      <c r="L30" s="77"/>
      <c r="M30" s="131">
        <v>4800</v>
      </c>
      <c r="N30" s="71"/>
      <c r="O30" s="71"/>
      <c r="P30" s="77"/>
      <c r="Q30" s="63"/>
      <c r="S30" s="86"/>
      <c r="T30" s="150">
        <v>6800</v>
      </c>
      <c r="U30" s="71"/>
      <c r="V30" s="71"/>
    </row>
    <row r="31" spans="2:22" ht="15.75">
      <c r="B31" s="54" t="s">
        <v>132</v>
      </c>
      <c r="C31" s="121">
        <v>1402</v>
      </c>
      <c r="E31" s="54"/>
      <c r="F31" s="56">
        <v>2702</v>
      </c>
      <c r="G31" s="72"/>
      <c r="H31" s="72"/>
      <c r="I31" s="77" t="s">
        <v>162</v>
      </c>
      <c r="J31" s="126">
        <v>3603</v>
      </c>
      <c r="K31" s="59"/>
      <c r="L31" s="77"/>
      <c r="M31" s="130"/>
      <c r="N31" s="72"/>
      <c r="O31" s="72"/>
      <c r="P31" s="78" t="s">
        <v>248</v>
      </c>
      <c r="Q31" s="64">
        <v>5300</v>
      </c>
      <c r="S31" s="86"/>
      <c r="T31" s="149"/>
      <c r="U31" s="85"/>
      <c r="V31" s="85"/>
    </row>
    <row r="32" spans="2:22" ht="15.75">
      <c r="B32" s="54"/>
      <c r="C32" s="121">
        <v>1403</v>
      </c>
      <c r="E32" s="24" t="s">
        <v>120</v>
      </c>
      <c r="F32" s="26">
        <v>2800</v>
      </c>
      <c r="G32" s="71"/>
      <c r="H32" s="71"/>
      <c r="I32" s="77" t="s">
        <v>163</v>
      </c>
      <c r="J32" s="126">
        <v>3604</v>
      </c>
      <c r="K32" s="59"/>
      <c r="L32" s="77"/>
      <c r="M32" s="130"/>
      <c r="N32" s="72"/>
      <c r="O32" s="72"/>
      <c r="P32" s="86" t="s">
        <v>249</v>
      </c>
      <c r="Q32" s="63">
        <v>5301</v>
      </c>
      <c r="S32" s="86"/>
      <c r="T32" s="149"/>
      <c r="U32" s="85"/>
      <c r="V32" s="85"/>
    </row>
    <row r="33" spans="2:22" ht="15.75">
      <c r="B33" s="54"/>
      <c r="C33" s="121">
        <v>1404</v>
      </c>
      <c r="E33" s="54"/>
      <c r="F33" s="56">
        <v>2801</v>
      </c>
      <c r="G33" s="72"/>
      <c r="H33" s="72"/>
      <c r="I33" s="77" t="s">
        <v>239</v>
      </c>
      <c r="J33" s="126">
        <v>3605</v>
      </c>
      <c r="K33" s="59"/>
      <c r="L33" s="77"/>
      <c r="M33" s="131">
        <v>4900</v>
      </c>
      <c r="N33" s="71"/>
      <c r="O33" s="71"/>
      <c r="P33" s="86"/>
      <c r="Q33" s="64">
        <v>5400</v>
      </c>
      <c r="S33" s="86"/>
      <c r="T33" s="150">
        <v>6900</v>
      </c>
      <c r="U33" s="71"/>
      <c r="V33" s="71"/>
    </row>
    <row r="34" spans="2:22" ht="15.75">
      <c r="B34" s="24" t="s">
        <v>113</v>
      </c>
      <c r="C34" s="122">
        <v>1500</v>
      </c>
      <c r="E34" s="54"/>
      <c r="F34" s="56">
        <v>2802</v>
      </c>
      <c r="G34" s="72"/>
      <c r="H34" s="72"/>
      <c r="I34" s="79" t="s">
        <v>147</v>
      </c>
      <c r="J34" s="127">
        <v>3700</v>
      </c>
      <c r="K34" s="59"/>
      <c r="L34" s="77"/>
      <c r="M34" s="130"/>
      <c r="N34" s="72"/>
      <c r="O34" s="72"/>
      <c r="P34" s="86"/>
      <c r="Q34" s="60"/>
      <c r="S34" s="86"/>
      <c r="T34" s="149"/>
      <c r="U34" s="85"/>
      <c r="V34" s="85"/>
    </row>
    <row r="35" spans="2:22" ht="15.75">
      <c r="B35" s="54"/>
      <c r="C35" s="121">
        <v>1501</v>
      </c>
      <c r="E35" s="17"/>
      <c r="F35" s="26">
        <v>2900</v>
      </c>
      <c r="G35" s="71"/>
      <c r="H35" s="71"/>
      <c r="I35" s="77" t="s">
        <v>164</v>
      </c>
      <c r="J35" s="126">
        <v>3701</v>
      </c>
      <c r="K35" s="59"/>
      <c r="L35" s="77"/>
      <c r="M35" s="130"/>
      <c r="N35" s="72"/>
      <c r="O35" s="72"/>
      <c r="P35" s="86"/>
      <c r="Q35" s="64">
        <v>5500</v>
      </c>
      <c r="S35" s="86"/>
      <c r="T35" s="149"/>
      <c r="U35" s="85"/>
      <c r="V35" s="85"/>
    </row>
    <row r="36" spans="2:22">
      <c r="B36" s="54"/>
      <c r="C36" s="121">
        <v>1502</v>
      </c>
      <c r="E36" s="54"/>
      <c r="F36" s="56">
        <v>2901</v>
      </c>
      <c r="G36" s="72"/>
      <c r="H36" s="72"/>
      <c r="I36" s="77" t="s">
        <v>166</v>
      </c>
      <c r="J36" s="126">
        <v>3702</v>
      </c>
      <c r="K36" s="59"/>
      <c r="L36" s="77"/>
      <c r="M36" s="130"/>
      <c r="N36" s="72"/>
      <c r="O36" s="72"/>
      <c r="P36" s="86"/>
      <c r="Q36" s="60"/>
      <c r="S36" s="86"/>
      <c r="T36" s="149"/>
      <c r="U36" s="85"/>
      <c r="V36" s="85"/>
    </row>
    <row r="37" spans="2:22" ht="15.75">
      <c r="B37" s="22"/>
      <c r="C37" s="122">
        <v>1600</v>
      </c>
      <c r="E37" s="54"/>
      <c r="F37" s="56">
        <v>2902</v>
      </c>
      <c r="G37" s="72"/>
      <c r="H37" s="72"/>
      <c r="I37" s="77" t="s">
        <v>167</v>
      </c>
      <c r="J37" s="126">
        <v>3703</v>
      </c>
      <c r="K37" s="59"/>
      <c r="L37" s="77"/>
      <c r="M37" s="130"/>
      <c r="N37" s="72"/>
      <c r="O37" s="72"/>
      <c r="P37" s="86"/>
      <c r="Q37" s="60"/>
      <c r="S37" s="86"/>
      <c r="T37" s="149"/>
      <c r="U37" s="85"/>
      <c r="V37" s="85"/>
    </row>
    <row r="38" spans="2:22" ht="15.75">
      <c r="B38" s="17"/>
      <c r="C38" s="121">
        <v>1601</v>
      </c>
      <c r="E38" s="17"/>
      <c r="F38" s="25"/>
      <c r="G38" s="69"/>
      <c r="H38" s="69"/>
      <c r="I38" s="77" t="s">
        <v>165</v>
      </c>
      <c r="J38" s="126">
        <v>3704</v>
      </c>
      <c r="K38" s="59"/>
      <c r="L38" s="77"/>
      <c r="M38" s="130"/>
      <c r="N38" s="72"/>
      <c r="O38" s="72"/>
      <c r="P38" s="86"/>
      <c r="Q38" s="64">
        <v>5600</v>
      </c>
      <c r="S38" s="86"/>
      <c r="T38" s="149"/>
      <c r="U38" s="85"/>
      <c r="V38" s="85"/>
    </row>
    <row r="39" spans="2:22" ht="15.75">
      <c r="B39" s="17"/>
      <c r="C39" s="122">
        <v>1700</v>
      </c>
      <c r="E39" s="17"/>
      <c r="F39" s="25"/>
      <c r="G39" s="69"/>
      <c r="H39" s="69"/>
      <c r="I39" s="77" t="s">
        <v>168</v>
      </c>
      <c r="J39" s="126">
        <v>3705</v>
      </c>
      <c r="K39" s="59"/>
      <c r="L39" s="77"/>
      <c r="M39" s="130"/>
      <c r="N39" s="72"/>
      <c r="O39" s="72"/>
      <c r="P39" s="86"/>
      <c r="Q39" s="60"/>
      <c r="S39" s="86"/>
      <c r="T39" s="149"/>
      <c r="U39" s="85"/>
      <c r="V39" s="85"/>
    </row>
    <row r="40" spans="2:22">
      <c r="B40" s="17"/>
      <c r="C40" s="121">
        <v>1701</v>
      </c>
      <c r="E40" s="17"/>
      <c r="F40" s="25"/>
      <c r="G40" s="69"/>
      <c r="H40" s="69"/>
      <c r="I40" s="77" t="s">
        <v>169</v>
      </c>
      <c r="J40" s="126">
        <v>3706</v>
      </c>
      <c r="K40" s="59"/>
      <c r="L40" s="77"/>
      <c r="M40" s="130"/>
      <c r="N40" s="72"/>
      <c r="O40" s="72"/>
      <c r="P40" s="86"/>
      <c r="Q40" s="60"/>
      <c r="S40" s="86"/>
      <c r="T40" s="149"/>
      <c r="U40" s="85"/>
      <c r="V40" s="85"/>
    </row>
    <row r="41" spans="2:22" ht="15.75">
      <c r="B41" s="17"/>
      <c r="C41" s="122">
        <v>1800</v>
      </c>
      <c r="E41" s="17"/>
      <c r="F41" s="25"/>
      <c r="G41" s="69"/>
      <c r="H41" s="69"/>
      <c r="I41" s="80" t="s">
        <v>170</v>
      </c>
      <c r="J41" s="126">
        <v>3707</v>
      </c>
      <c r="K41" s="59"/>
      <c r="L41" s="77"/>
      <c r="M41" s="130"/>
      <c r="N41" s="72"/>
      <c r="O41" s="72"/>
      <c r="P41" s="86"/>
      <c r="Q41" s="64">
        <v>5700</v>
      </c>
      <c r="S41" s="86"/>
      <c r="T41" s="149"/>
      <c r="U41" s="85"/>
      <c r="V41" s="85"/>
    </row>
    <row r="42" spans="2:22">
      <c r="B42" s="17"/>
      <c r="C42" s="121">
        <v>1801</v>
      </c>
      <c r="E42" s="17"/>
      <c r="F42" s="25"/>
      <c r="G42" s="69"/>
      <c r="H42" s="69"/>
      <c r="I42" s="77" t="s">
        <v>171</v>
      </c>
      <c r="J42" s="126">
        <v>3708</v>
      </c>
      <c r="K42" s="59"/>
      <c r="L42" s="77"/>
      <c r="M42" s="130"/>
      <c r="N42" s="72"/>
      <c r="O42" s="72"/>
      <c r="P42" s="86"/>
      <c r="Q42" s="60"/>
      <c r="S42" s="86"/>
      <c r="T42" s="149"/>
      <c r="U42" s="85"/>
      <c r="V42" s="85"/>
    </row>
    <row r="43" spans="2:22" ht="15.75">
      <c r="B43" s="17"/>
      <c r="C43" s="122">
        <v>1900</v>
      </c>
      <c r="E43" s="17"/>
      <c r="F43" s="25"/>
      <c r="G43" s="69"/>
      <c r="H43" s="69"/>
      <c r="I43" s="77" t="s">
        <v>172</v>
      </c>
      <c r="J43" s="126">
        <v>3709</v>
      </c>
      <c r="K43" s="59"/>
      <c r="L43" s="77"/>
      <c r="M43" s="130"/>
      <c r="N43" s="72"/>
      <c r="O43" s="72"/>
      <c r="P43" s="86"/>
      <c r="Q43" s="60"/>
      <c r="S43" s="86"/>
      <c r="T43" s="149"/>
      <c r="U43" s="85"/>
      <c r="V43" s="85"/>
    </row>
    <row r="44" spans="2:22" ht="15.75">
      <c r="B44" s="17"/>
      <c r="C44" s="121">
        <v>1901</v>
      </c>
      <c r="E44" s="17"/>
      <c r="F44" s="25"/>
      <c r="G44" s="69"/>
      <c r="H44" s="69"/>
      <c r="I44" s="77"/>
      <c r="J44" s="127">
        <v>3800</v>
      </c>
      <c r="K44" s="59"/>
      <c r="L44" s="77"/>
      <c r="M44" s="130"/>
      <c r="N44" s="72"/>
      <c r="O44" s="72"/>
      <c r="P44" s="86"/>
      <c r="Q44" s="64">
        <v>5800</v>
      </c>
      <c r="S44" s="86"/>
      <c r="T44" s="149"/>
      <c r="U44" s="85"/>
      <c r="V44" s="85"/>
    </row>
    <row r="45" spans="2:22" ht="15.75">
      <c r="B45" s="57"/>
      <c r="C45" s="123"/>
      <c r="E45" s="17"/>
      <c r="F45" s="25"/>
      <c r="G45" s="69"/>
      <c r="H45" s="69"/>
      <c r="I45" s="77"/>
      <c r="J45" s="126"/>
      <c r="K45" s="59"/>
      <c r="L45" s="77"/>
      <c r="M45" s="130"/>
      <c r="N45" s="72"/>
      <c r="O45" s="72"/>
      <c r="P45" s="89"/>
      <c r="Q45" s="65"/>
      <c r="S45" s="86"/>
      <c r="T45" s="149"/>
      <c r="U45" s="85"/>
      <c r="V45" s="85"/>
    </row>
    <row r="46" spans="2:22" ht="16.5" thickBot="1">
      <c r="B46" s="18"/>
      <c r="C46" s="124"/>
      <c r="E46" s="18"/>
      <c r="F46" s="27"/>
      <c r="G46" s="69"/>
      <c r="H46" s="69"/>
      <c r="I46" s="81"/>
      <c r="J46" s="128">
        <v>3900</v>
      </c>
      <c r="K46" s="59"/>
      <c r="L46" s="81"/>
      <c r="M46" s="132"/>
      <c r="N46" s="72"/>
      <c r="O46" s="72"/>
      <c r="P46" s="87"/>
      <c r="Q46" s="66">
        <v>5900</v>
      </c>
      <c r="S46" s="87"/>
      <c r="T46" s="152"/>
      <c r="U46" s="85"/>
      <c r="V46" s="85"/>
    </row>
  </sheetData>
  <mergeCells count="10">
    <mergeCell ref="B4:C4"/>
    <mergeCell ref="B1:F1"/>
    <mergeCell ref="E4:F4"/>
    <mergeCell ref="I4:J4"/>
    <mergeCell ref="L4:M4"/>
    <mergeCell ref="P1:T1"/>
    <mergeCell ref="P2:T2"/>
    <mergeCell ref="P4:Q4"/>
    <mergeCell ref="S4:T4"/>
    <mergeCell ref="I1:M1"/>
  </mergeCells>
  <printOptions horizontalCentered="1" verticalCentered="1"/>
  <pageMargins left="0" right="0" top="0.25" bottom="0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4"/>
  <sheetViews>
    <sheetView topLeftCell="A28" workbookViewId="0">
      <selection activeCell="A13" sqref="A13"/>
    </sheetView>
  </sheetViews>
  <sheetFormatPr defaultRowHeight="16.5"/>
  <cols>
    <col min="1" max="1" width="22.7109375" style="13" customWidth="1"/>
    <col min="2" max="16384" width="9.140625" style="1"/>
  </cols>
  <sheetData>
    <row r="1" spans="1:1">
      <c r="A1" s="13" t="s">
        <v>272</v>
      </c>
    </row>
    <row r="2" spans="1:1">
      <c r="A2" s="13" t="s">
        <v>264</v>
      </c>
    </row>
    <row r="3" spans="1:1">
      <c r="A3" s="13" t="s">
        <v>265</v>
      </c>
    </row>
    <row r="4" spans="1:1">
      <c r="A4" s="13" t="s">
        <v>273</v>
      </c>
    </row>
    <row r="5" spans="1:1">
      <c r="A5" s="13" t="s">
        <v>266</v>
      </c>
    </row>
    <row r="6" spans="1:1">
      <c r="A6" s="13" t="s">
        <v>267</v>
      </c>
    </row>
    <row r="7" spans="1:1">
      <c r="A7" s="13" t="s">
        <v>268</v>
      </c>
    </row>
    <row r="8" spans="1:1">
      <c r="A8" s="13" t="s">
        <v>269</v>
      </c>
    </row>
    <row r="9" spans="1:1">
      <c r="A9" s="13" t="s">
        <v>270</v>
      </c>
    </row>
    <row r="10" spans="1:1">
      <c r="A10" s="13" t="s">
        <v>271</v>
      </c>
    </row>
    <row r="12" spans="1:1">
      <c r="A12" s="13" t="s">
        <v>274</v>
      </c>
    </row>
    <row r="13" spans="1:1">
      <c r="A13" s="13" t="s">
        <v>275</v>
      </c>
    </row>
    <row r="14" spans="1:1">
      <c r="A14" s="13" t="s">
        <v>276</v>
      </c>
    </row>
    <row r="15" spans="1:1">
      <c r="A15" s="13" t="s">
        <v>277</v>
      </c>
    </row>
    <row r="16" spans="1:1">
      <c r="A16" s="13" t="s">
        <v>278</v>
      </c>
    </row>
    <row r="17" spans="1:1">
      <c r="A17" s="13" t="s">
        <v>279</v>
      </c>
    </row>
    <row r="18" spans="1:1">
      <c r="A18" s="13" t="s">
        <v>345</v>
      </c>
    </row>
    <row r="19" spans="1:1">
      <c r="A19" s="13" t="s">
        <v>280</v>
      </c>
    </row>
    <row r="20" spans="1:1">
      <c r="A20" s="13" t="s">
        <v>281</v>
      </c>
    </row>
    <row r="22" spans="1:1">
      <c r="A22" s="13" t="s">
        <v>282</v>
      </c>
    </row>
    <row r="23" spans="1:1">
      <c r="A23" s="13" t="s">
        <v>283</v>
      </c>
    </row>
    <row r="24" spans="1:1">
      <c r="A24" s="13" t="s">
        <v>284</v>
      </c>
    </row>
    <row r="25" spans="1:1">
      <c r="A25" s="13" t="s">
        <v>285</v>
      </c>
    </row>
    <row r="26" spans="1:1">
      <c r="A26" s="13" t="s">
        <v>286</v>
      </c>
    </row>
    <row r="27" spans="1:1">
      <c r="A27" s="13" t="s">
        <v>287</v>
      </c>
    </row>
    <row r="28" spans="1:1">
      <c r="A28" s="13" t="s">
        <v>288</v>
      </c>
    </row>
    <row r="29" spans="1:1">
      <c r="A29" s="13" t="s">
        <v>289</v>
      </c>
    </row>
    <row r="30" spans="1:1">
      <c r="A30" s="13" t="s">
        <v>290</v>
      </c>
    </row>
    <row r="31" spans="1:1">
      <c r="A31" s="13" t="s">
        <v>291</v>
      </c>
    </row>
    <row r="32" spans="1:1">
      <c r="A32" s="13" t="s">
        <v>292</v>
      </c>
    </row>
    <row r="34" spans="1:1">
      <c r="A34" s="13" t="s">
        <v>293</v>
      </c>
    </row>
    <row r="35" spans="1:1">
      <c r="A35" s="13" t="s">
        <v>294</v>
      </c>
    </row>
    <row r="36" spans="1:1">
      <c r="A36" s="13" t="s">
        <v>295</v>
      </c>
    </row>
    <row r="37" spans="1:1">
      <c r="A37" s="13" t="s">
        <v>296</v>
      </c>
    </row>
    <row r="38" spans="1:1">
      <c r="A38" s="13" t="s">
        <v>297</v>
      </c>
    </row>
    <row r="39" spans="1:1">
      <c r="A39" s="13" t="s">
        <v>298</v>
      </c>
    </row>
    <row r="40" spans="1:1">
      <c r="A40" s="13" t="s">
        <v>299</v>
      </c>
    </row>
    <row r="41" spans="1:1">
      <c r="A41" s="13" t="s">
        <v>300</v>
      </c>
    </row>
    <row r="43" spans="1:1">
      <c r="A43" s="13" t="s">
        <v>226</v>
      </c>
    </row>
    <row r="44" spans="1:1">
      <c r="A44" s="13" t="s">
        <v>301</v>
      </c>
    </row>
    <row r="45" spans="1:1">
      <c r="A45" s="13" t="s">
        <v>302</v>
      </c>
    </row>
    <row r="46" spans="1:1">
      <c r="A46" s="13" t="s">
        <v>303</v>
      </c>
    </row>
    <row r="47" spans="1:1">
      <c r="A47" s="13" t="s">
        <v>304</v>
      </c>
    </row>
    <row r="48" spans="1:1">
      <c r="A48" s="13" t="s">
        <v>305</v>
      </c>
    </row>
    <row r="50" spans="1:1">
      <c r="A50" s="13" t="s">
        <v>306</v>
      </c>
    </row>
    <row r="51" spans="1:1">
      <c r="A51" s="13" t="s">
        <v>307</v>
      </c>
    </row>
    <row r="52" spans="1:1">
      <c r="A52" s="13" t="s">
        <v>308</v>
      </c>
    </row>
    <row r="53" spans="1:1">
      <c r="A53" s="13" t="s">
        <v>309</v>
      </c>
    </row>
    <row r="54" spans="1:1">
      <c r="A54" s="13" t="s">
        <v>310</v>
      </c>
    </row>
  </sheetData>
  <dataValidations count="4">
    <dataValidation type="list" allowBlank="1" showInputMessage="1" showErrorMessage="1" promptTitle="Departments" sqref="A1:A10">
      <formula1>$A$1:$A$10</formula1>
    </dataValidation>
    <dataValidation type="list" allowBlank="1" showInputMessage="1" showErrorMessage="1" sqref="B5">
      <formula1>$A$1:$A$10</formula1>
    </dataValidation>
    <dataValidation type="list" allowBlank="1" showInputMessage="1" showErrorMessage="1" promptTitle="Dept." prompt="Dept." sqref="B27">
      <formula1>$A$1:$A$10</formula1>
    </dataValidation>
    <dataValidation type="list" allowBlank="1" showInputMessage="1" showErrorMessage="1" sqref="J11 B6">
      <formula1>Dept.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Engine Syst. 1000</vt:lpstr>
      <vt:lpstr>Drivetrain Syst. 2000</vt:lpstr>
      <vt:lpstr>Fuel &amp; Exhaust 3000</vt:lpstr>
      <vt:lpstr>Electrical Syst. 4000</vt:lpstr>
      <vt:lpstr>Tools &amp; Parts 5000</vt:lpstr>
      <vt:lpstr>Misc. 6000</vt:lpstr>
      <vt:lpstr>Inv. Chart</vt:lpstr>
      <vt:lpstr>Drop Down List</vt:lpstr>
      <vt:lpstr>Dept.</vt:lpstr>
      <vt:lpstr>Drivetrain</vt:lpstr>
      <vt:lpstr>Electrical</vt:lpstr>
      <vt:lpstr>'Engine Syst. 1000'!Engine</vt:lpstr>
      <vt:lpstr>Engine</vt:lpstr>
      <vt:lpstr>Engine__Oil_System</vt:lpstr>
      <vt:lpstr>Fuel</vt:lpstr>
      <vt:lpstr>Misc.</vt:lpstr>
      <vt:lpstr>Spec._Tools</vt:lpstr>
      <vt:lpstr>Tools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Kelli Stegman</dc:creator>
  <cp:lastModifiedBy>Scott Tomsu</cp:lastModifiedBy>
  <cp:lastPrinted>2015-09-23T20:00:16Z</cp:lastPrinted>
  <dcterms:created xsi:type="dcterms:W3CDTF">2015-03-30T20:08:03Z</dcterms:created>
  <dcterms:modified xsi:type="dcterms:W3CDTF">2015-09-28T21:45:08Z</dcterms:modified>
</cp:coreProperties>
</file>