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37" i="1"/>
  <c r="H38"/>
  <c r="C36"/>
  <c r="H35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<sst xmlns="http://schemas.openxmlformats.org/spreadsheetml/2006/main" count="86" uniqueCount="55">
  <si>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</si>
  <si>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</si>
  <si>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</si>
  <si>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</si>
  <si>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</si>
  <si>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</si>
  <si>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</si>
  <si>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</si>
  <si>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</si>
  <si>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</si>
  <si>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</si>
  <si>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</si>
  <si>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</si>
  <si>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</si>
  <si>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</si>
  <si>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</si>
  <si>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</si>
  <si>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</si>
  <si>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</si>
  <si>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</si>
  <si>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</si>
  <si>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</si>
  <si>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</si>
  <si>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</si>
  <si>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</si>
  <si>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4020 Claiborne Note</t>
  </si>
  <si>
    <t>Balance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</si>
  <si>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</si>
  <si>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</si>
  <si>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</si>
  <si>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</si>
  <si>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</si>
  <si>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</si>
  <si>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SWB</t>
  </si>
  <si>
    <t>GCB DD</t>
  </si>
  <si>
    <t>DD</t>
  </si>
  <si>
    <t>CITI CARD</t>
  </si>
  <si>
    <t>Al Pest Con</t>
  </si>
  <si>
    <t>Boudre Ins</t>
  </si>
  <si>
    <t>2746&amp;51</t>
  </si>
  <si>
    <t>Fed Ex X 2</t>
  </si>
  <si>
    <t>plumber</t>
  </si>
  <si>
    <t>entergy</t>
  </si>
  <si>
    <t>lowes</t>
  </si>
  <si>
    <t>R&amp;H</t>
  </si>
  <si>
    <t>BANK FEEX2</t>
  </si>
  <si>
    <t>USPS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</si>
  <si>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</si>
  <si>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</si>
  <si>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</si>
  <si>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</si>
  <si>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</si>
  <si>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 xml:space="preserve"> Minus ADH TX Deposits</t>
  </si>
  <si>
    <t>Minus Scott Tomsu</t>
  </si>
  <si>
    <t>S Tomsu year to date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</si>
</sst>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0" fillId="0" borderId="5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H38" sqref="H3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A1" s="3"/>
      <c r="B1" s="43" t="s">
        <v>8</v>
      </c>
      <c r="C1" s="43"/>
      <c r="D1" s="43"/>
      <c r="E1" s="43"/>
      <c r="F1" s="43"/>
      <c r="G1" s="43"/>
      <c r="H1" s="26">
        <v>40544</v>
      </c>
    </row>
    <row r="2" spans="1:10">
      <c r="B2" s="5" t="s">
        <v>10</v>
      </c>
      <c r="C2" s="48" t="s">
        <v>9</v>
      </c>
      <c r="D2" s="49"/>
      <c r="E2" s="46" t="s">
        <v>16</v>
      </c>
      <c r="F2" s="47"/>
      <c r="G2" s="46" t="s">
        <v>21</v>
      </c>
      <c r="H2" s="47"/>
      <c r="I2" s="9"/>
    </row>
    <row r="3" spans="1:10">
      <c r="B3" s="5" t="s">
        <v>11</v>
      </c>
      <c r="C3" s="17">
        <v>40544</v>
      </c>
      <c r="D3" s="18"/>
      <c r="E3" s="18"/>
      <c r="F3" s="18"/>
      <c r="G3" s="15"/>
      <c r="H3" s="16"/>
      <c r="I3" s="9"/>
    </row>
    <row r="4" spans="1:10">
      <c r="B4" s="5" t="s">
        <v>6</v>
      </c>
      <c r="C4" s="19">
        <v>7685</v>
      </c>
      <c r="D4" s="20"/>
      <c r="E4" s="20"/>
      <c r="F4" s="20"/>
      <c r="G4" s="20"/>
      <c r="H4" s="21"/>
      <c r="I4" s="2"/>
      <c r="J4" s="2"/>
    </row>
    <row r="5" spans="1:10">
      <c r="C5" s="2"/>
      <c r="G5" s="8"/>
      <c r="H5" s="34"/>
    </row>
    <row r="6" spans="1:10">
      <c r="B6" s="32" t="s">
        <v>0</v>
      </c>
      <c r="C6" s="50" t="s">
        <v>50</v>
      </c>
      <c r="D6" s="50"/>
      <c r="E6" s="50"/>
    </row>
    <row r="7" spans="1:10">
      <c r="B7" s="11" t="s">
        <v>12</v>
      </c>
      <c r="C7" s="22" t="s">
        <v>44</v>
      </c>
      <c r="D7" s="22"/>
      <c r="E7" s="22"/>
      <c r="F7" s="22"/>
      <c r="G7" s="22"/>
      <c r="H7" s="22"/>
    </row>
    <row r="8" spans="1:10">
      <c r="B8" s="11" t="s">
        <v>13</v>
      </c>
      <c r="C8" s="22">
        <v>2752</v>
      </c>
      <c r="D8" s="22"/>
      <c r="E8" s="22"/>
      <c r="F8" s="22"/>
      <c r="G8" s="22"/>
      <c r="H8" s="22"/>
    </row>
    <row r="9" spans="1:10">
      <c r="B9" s="11" t="s">
        <v>6</v>
      </c>
      <c r="C9" s="20">
        <v>49.39</v>
      </c>
      <c r="D9" s="20"/>
      <c r="E9" s="20"/>
      <c r="F9" s="20"/>
      <c r="G9" s="20"/>
      <c r="H9" s="20"/>
    </row>
    <row r="10" spans="1:10">
      <c r="B10" s="13"/>
      <c r="C10" s="2"/>
      <c r="D10" s="2"/>
      <c r="E10" s="2"/>
      <c r="F10" s="2"/>
      <c r="G10" s="29" t="s">
        <v>15</v>
      </c>
      <c r="H10" s="21">
        <f>SUM(C9:H9)</f>
        <v>49.39</v>
      </c>
    </row>
    <row r="11" spans="1:10">
      <c r="B11" s="1" t="s">
        <v>1</v>
      </c>
      <c r="C11" s="50" t="s">
        <v>24</v>
      </c>
      <c r="D11" s="50"/>
      <c r="E11" s="50"/>
    </row>
    <row r="12" spans="1:10">
      <c r="B12" s="11" t="s">
        <v>12</v>
      </c>
      <c r="C12" s="22" t="s">
        <v>4</v>
      </c>
      <c r="D12" s="22" t="s">
        <v>4</v>
      </c>
      <c r="E12" s="22" t="s">
        <v>41</v>
      </c>
      <c r="F12" s="22" t="s">
        <v>42</v>
      </c>
      <c r="G12" s="22"/>
      <c r="H12" s="22"/>
    </row>
    <row r="13" spans="1:10">
      <c r="B13" s="11" t="s">
        <v>13</v>
      </c>
      <c r="C13" s="22" t="s">
        <v>7</v>
      </c>
      <c r="D13" s="22" t="s">
        <v>7</v>
      </c>
      <c r="E13" s="22">
        <v>2753</v>
      </c>
      <c r="F13" s="22">
        <v>2748</v>
      </c>
      <c r="G13" s="22"/>
      <c r="H13" s="22"/>
    </row>
    <row r="14" spans="1:10">
      <c r="B14" s="11" t="s">
        <v>6</v>
      </c>
      <c r="C14" s="20">
        <v>46.53</v>
      </c>
      <c r="D14" s="20">
        <v>46.53</v>
      </c>
      <c r="E14" s="20">
        <v>160</v>
      </c>
      <c r="F14" s="20">
        <v>112.52</v>
      </c>
      <c r="G14" s="20"/>
      <c r="H14" s="20"/>
    </row>
    <row r="15" spans="1:10">
      <c r="B15" s="13"/>
      <c r="C15" s="2"/>
      <c r="D15" s="2"/>
      <c r="E15" s="2"/>
      <c r="F15" s="2"/>
      <c r="G15" s="29" t="s">
        <v>15</v>
      </c>
      <c r="H15" s="21">
        <f>SUM(C14:H14)</f>
        <v>365.58</v>
      </c>
    </row>
    <row r="16" spans="1:10">
      <c r="B16" s="1" t="s">
        <v>2</v>
      </c>
      <c r="C16" s="2"/>
    </row>
    <row r="17" spans="2:10">
      <c r="B17" s="11" t="s">
        <v>12</v>
      </c>
      <c r="C17" s="20" t="s">
        <v>14</v>
      </c>
      <c r="D17" s="22" t="s">
        <v>33</v>
      </c>
      <c r="E17" s="22" t="s">
        <v>33</v>
      </c>
      <c r="F17" s="22" t="s">
        <v>42</v>
      </c>
      <c r="G17" s="22"/>
      <c r="H17" s="22"/>
    </row>
    <row r="18" spans="2:10">
      <c r="B18" s="11" t="s">
        <v>13</v>
      </c>
      <c r="C18" s="20" t="s">
        <v>7</v>
      </c>
      <c r="D18" s="22">
        <v>2755</v>
      </c>
      <c r="E18" s="22">
        <v>2742</v>
      </c>
      <c r="F18" s="22">
        <v>2747</v>
      </c>
      <c r="G18" s="22"/>
      <c r="H18" s="22"/>
    </row>
    <row r="19" spans="2:10">
      <c r="B19" s="11" t="s">
        <v>6</v>
      </c>
      <c r="C19" s="20">
        <v>2260.5</v>
      </c>
      <c r="D19" s="20">
        <v>111.69</v>
      </c>
      <c r="E19" s="20">
        <v>111.09</v>
      </c>
      <c r="F19" s="20">
        <v>208.7</v>
      </c>
      <c r="G19" s="20"/>
      <c r="H19" s="20"/>
    </row>
    <row r="20" spans="2:10">
      <c r="B20" s="13"/>
      <c r="C20" s="2"/>
      <c r="D20" s="2"/>
      <c r="E20" s="2"/>
      <c r="F20" s="2"/>
      <c r="G20" s="29" t="s">
        <v>15</v>
      </c>
      <c r="H20" s="21">
        <f>SUM(C19:H19)</f>
        <v>2691.98</v>
      </c>
    </row>
    <row r="21" spans="2:10">
      <c r="B21" s="1" t="s">
        <v>3</v>
      </c>
      <c r="C21" s="2"/>
    </row>
    <row r="22" spans="2:10">
      <c r="B22" s="11" t="s">
        <v>12</v>
      </c>
      <c r="C22" s="20" t="s">
        <v>14</v>
      </c>
      <c r="D22" s="22" t="s">
        <v>33</v>
      </c>
      <c r="E22" s="22" t="s">
        <v>33</v>
      </c>
      <c r="F22" s="22" t="s">
        <v>43</v>
      </c>
      <c r="G22" s="22"/>
      <c r="H22" s="22"/>
    </row>
    <row r="23" spans="2:10">
      <c r="B23" s="11" t="s">
        <v>13</v>
      </c>
      <c r="C23" s="20" t="s">
        <v>7</v>
      </c>
      <c r="D23" s="22">
        <v>2756</v>
      </c>
      <c r="E23" s="22">
        <v>2741</v>
      </c>
      <c r="F23" s="22">
        <v>2754</v>
      </c>
      <c r="G23" s="22"/>
      <c r="H23" s="22"/>
    </row>
    <row r="24" spans="2:10">
      <c r="B24" s="11" t="s">
        <v>6</v>
      </c>
      <c r="C24" s="20"/>
      <c r="D24" s="20">
        <v>172.04</v>
      </c>
      <c r="E24" s="20">
        <v>145.78</v>
      </c>
      <c r="F24" s="20">
        <v>30</v>
      </c>
      <c r="G24" s="20"/>
      <c r="H24" s="20"/>
    </row>
    <row r="25" spans="2:10">
      <c r="B25" s="13"/>
      <c r="C25" s="2"/>
      <c r="D25" s="2"/>
      <c r="E25" s="2"/>
      <c r="F25" s="2"/>
      <c r="G25" s="29" t="s">
        <v>15</v>
      </c>
      <c r="H25" s="21">
        <f>SUM(C24:H24)</f>
        <v>347.82</v>
      </c>
    </row>
    <row r="26" spans="2:10">
      <c r="B26" s="43" t="s">
        <v>19</v>
      </c>
      <c r="C26" s="43"/>
      <c r="D26" s="43"/>
      <c r="E26" s="43"/>
      <c r="F26" s="43"/>
      <c r="G26" s="43"/>
    </row>
    <row r="27" spans="2:10">
      <c r="B27" s="6" t="s">
        <v>5</v>
      </c>
      <c r="C27" s="30" t="s">
        <v>34</v>
      </c>
      <c r="D27" s="30" t="s">
        <v>46</v>
      </c>
      <c r="E27" s="30" t="s">
        <v>35</v>
      </c>
      <c r="F27" s="30">
        <v>2743</v>
      </c>
      <c r="G27" s="30">
        <v>2745</v>
      </c>
      <c r="H27" s="30" t="s">
        <v>39</v>
      </c>
    </row>
    <row r="28" spans="2:10">
      <c r="B28" s="7" t="s">
        <v>10</v>
      </c>
      <c r="C28" s="23" t="s">
        <v>45</v>
      </c>
      <c r="D28" s="23">
        <v>2749</v>
      </c>
      <c r="E28" s="23" t="s">
        <v>36</v>
      </c>
      <c r="F28" s="24" t="s">
        <v>37</v>
      </c>
      <c r="G28" s="24" t="s">
        <v>38</v>
      </c>
      <c r="H28" s="24" t="s">
        <v>40</v>
      </c>
      <c r="I28" s="4"/>
      <c r="J28" s="4"/>
    </row>
    <row r="29" spans="2:10">
      <c r="B29" s="7" t="s">
        <v>6</v>
      </c>
      <c r="C29" s="20">
        <v>32</v>
      </c>
      <c r="D29" s="21">
        <v>35</v>
      </c>
      <c r="E29" s="21">
        <v>300</v>
      </c>
      <c r="F29" s="21">
        <v>200</v>
      </c>
      <c r="G29" s="21">
        <v>1671</v>
      </c>
      <c r="H29" s="21">
        <v>54</v>
      </c>
      <c r="I29" s="2"/>
      <c r="J29" s="2"/>
    </row>
    <row r="30" spans="2:10">
      <c r="C30" s="2"/>
      <c r="G30" s="8" t="s">
        <v>15</v>
      </c>
      <c r="H30" s="21">
        <f>SUM(C29:H29)</f>
        <v>2292</v>
      </c>
    </row>
    <row r="31" spans="2:10">
      <c r="B31" s="44" t="s">
        <v>20</v>
      </c>
      <c r="C31" s="45"/>
      <c r="D31" s="45"/>
      <c r="E31" s="45"/>
      <c r="F31" s="45"/>
      <c r="G31" s="45"/>
    </row>
    <row r="32" spans="2:10">
      <c r="B32" s="6" t="s">
        <v>5</v>
      </c>
      <c r="C32" s="30">
        <v>2750</v>
      </c>
      <c r="D32" s="12">
        <v>2744</v>
      </c>
      <c r="E32" s="12"/>
      <c r="F32" s="12"/>
      <c r="G32" s="12"/>
      <c r="H32" s="12"/>
    </row>
    <row r="33" spans="2:8">
      <c r="B33" s="7" t="s">
        <v>10</v>
      </c>
      <c r="C33" s="23" t="s">
        <v>16</v>
      </c>
      <c r="D33" s="23" t="s">
        <v>16</v>
      </c>
      <c r="E33" s="23"/>
      <c r="F33" s="24"/>
      <c r="G33" s="24"/>
      <c r="H33" s="24"/>
    </row>
    <row r="34" spans="2:8">
      <c r="B34" s="7" t="s">
        <v>6</v>
      </c>
      <c r="C34" s="20">
        <v>1017</v>
      </c>
      <c r="D34" s="21">
        <v>150</v>
      </c>
      <c r="E34" s="21"/>
      <c r="F34" s="21"/>
      <c r="G34" s="21"/>
      <c r="H34" s="21"/>
    </row>
    <row r="35" spans="2:8">
      <c r="B35" s="10"/>
      <c r="C35" s="28"/>
      <c r="D35" s="27"/>
      <c r="E35" s="27"/>
      <c r="F35" s="55" t="s">
        <v>29</v>
      </c>
      <c r="G35" s="56"/>
      <c r="H35" s="33">
        <f>SUM(C34:H34)</f>
        <v>1167</v>
      </c>
    </row>
    <row r="36" spans="2:8">
      <c r="B36" s="11" t="s">
        <v>18</v>
      </c>
      <c r="C36" s="25">
        <f>SUM(C4:C5)</f>
        <v>7685</v>
      </c>
      <c r="F36" s="53" t="s">
        <v>25</v>
      </c>
      <c r="G36" s="53"/>
      <c r="H36" s="33">
        <v>-940.55</v>
      </c>
    </row>
    <row r="37" spans="2:8">
      <c r="B37" s="11" t="s">
        <v>17</v>
      </c>
      <c r="C37" s="25">
        <f>SUM(H10)+H15+H20+H25+H30</f>
        <v>5746.77</v>
      </c>
      <c r="F37" s="54" t="s">
        <v>26</v>
      </c>
      <c r="G37" s="54"/>
      <c r="H37" s="25">
        <f>SUM(H35)+H36</f>
        <v>226.45000000000005</v>
      </c>
    </row>
    <row r="38" spans="2:8">
      <c r="B38" s="13" t="s">
        <v>23</v>
      </c>
      <c r="C38" s="35">
        <f>SUM(C36-C37)</f>
        <v>1938.2299999999996</v>
      </c>
      <c r="F38" s="53" t="s">
        <v>52</v>
      </c>
      <c r="G38" s="53"/>
      <c r="H38" s="25">
        <f>SUM(E4:F4)</f>
        <v>0</v>
      </c>
    </row>
    <row r="39" spans="2:8">
      <c r="B39" s="11" t="s">
        <v>25</v>
      </c>
      <c r="C39" s="21">
        <v>940.55</v>
      </c>
      <c r="D39" s="36"/>
      <c r="F39" s="53" t="s">
        <v>53</v>
      </c>
      <c r="G39" s="53"/>
      <c r="H39" s="25">
        <v>-1800</v>
      </c>
    </row>
    <row r="40" spans="2:8">
      <c r="B40" s="14" t="s">
        <v>47</v>
      </c>
      <c r="C40" s="21">
        <v>1200.83</v>
      </c>
      <c r="F40" s="54"/>
      <c r="G40" s="54"/>
      <c r="H40" s="37"/>
    </row>
    <row r="41" spans="2:8">
      <c r="B41" s="38" t="s">
        <v>27</v>
      </c>
      <c r="C41" s="39">
        <f>SUM(C38)-C39-C40</f>
        <v>-203.15000000000032</v>
      </c>
      <c r="F41" s="53" t="s">
        <v>28</v>
      </c>
      <c r="G41" s="53"/>
      <c r="H41" s="21">
        <v>-1573.55</v>
      </c>
    </row>
    <row r="42" spans="2:8">
      <c r="B42" s="14" t="s">
        <v>22</v>
      </c>
      <c r="C42" s="21"/>
      <c r="F42" s="51" t="s">
        <v>32</v>
      </c>
      <c r="G42" s="52"/>
      <c r="H42" s="31"/>
    </row>
    <row r="43" spans="2:8">
      <c r="B43" s="11" t="s">
        <v>30</v>
      </c>
      <c r="C43" s="21"/>
      <c r="F43" s="51" t="s">
        <v>31</v>
      </c>
      <c r="G43" s="52"/>
      <c r="H43" s="21"/>
    </row>
    <row r="45" spans="2:8">
      <c r="F45" s="40" t="s">
        <v>48</v>
      </c>
      <c r="G45" s="41"/>
      <c r="H45" s="21">
        <v>1200.83</v>
      </c>
    </row>
    <row r="46" spans="2:8">
      <c r="B46" s="12" t="s">
        <v>54</v>
      </c>
      <c r="C46" s="57">
        <v>1800</v>
      </c>
      <c r="F46" s="40" t="s">
        <v>51</v>
      </c>
      <c r="G46" s="41"/>
      <c r="H46" s="21"/>
    </row>
    <row r="47" spans="2:8">
      <c r="F47" s="40" t="s">
        <v>49</v>
      </c>
      <c r="G47" s="42"/>
      <c r="H47" s="21">
        <v>1200.83</v>
      </c>
    </row>
  </sheetData>
  <mergeCells count="20">
    <mergeCell ref="F41:G41"/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2012-11-16T19:01:03Z</cp:lastPrinted>
  <dcterms:created xsi:type="dcterms:W3CDTF">2012-11-08T14:39:58Z</dcterms:created>
  <dcterms:modified xsi:type="dcterms:W3CDTF">2012-11-16T19:02:07Z</dcterms:modified>
</cp:coreProperties>
</file>