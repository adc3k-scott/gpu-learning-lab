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39" i="1"/>
  <c r="C36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<sst xmlns="http://schemas.openxmlformats.org/spreadsheetml/2006/main" count="95" uniqueCount="61">
  <si>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</si>
  <si>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</si>
  <si>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</si>
  <si>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</si>
  <si>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</si>
  <si>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</si>
  <si>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</si>
  <si>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</si>
  <si>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</si>
  <si>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</si>
  <si>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</si>
  <si>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</si>
  <si>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</si>
  <si>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</si>
  <si>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</si>
  <si>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</si>
  <si>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</si>
  <si>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</si>
  <si>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</si>
  <si>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</si>
  <si>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</si>
  <si>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</si>
  <si>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</si>
  <si>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</si>
  <si>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</si>
  <si>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</si>
  <si>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</si>
  <si>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</si>
  <si>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</si>
  <si>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</si>
  <si>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</si>
  <si>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</si>
  <si>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</si>
  <si>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</si>
  <si>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</si>
  <si>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DD</t>
  </si>
  <si>
    <t>BANK FEEX2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</si>
  <si>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</si>
  <si>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</si>
  <si>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</si>
  <si>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</si>
  <si>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</si>
  <si>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</si>
  <si>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</si>
  <si>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>***ADC in</t>
  </si>
  <si>
    <t>***ADC</t>
  </si>
  <si>
    <t>D Peters</t>
  </si>
  <si>
    <t xml:space="preserve">DD </t>
  </si>
  <si>
    <t>Bank fee</t>
  </si>
  <si>
    <t>SFIC</t>
  </si>
  <si>
    <t>Materials</t>
  </si>
  <si>
    <t>Travel</t>
  </si>
  <si>
    <t>S FID Ins</t>
  </si>
  <si>
    <t>swb</t>
  </si>
  <si>
    <t>S fid Ins</t>
  </si>
  <si>
    <t>Citi Card</t>
  </si>
  <si>
    <t>Fed Ex</t>
  </si>
  <si>
    <t>fed ex</t>
  </si>
  <si>
    <t>Flood Ins</t>
  </si>
  <si>
    <t>S Tomsu year to date</t>
  </si>
  <si>
    <t>Minus Scott Tomsu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</si>
</sst>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0" fillId="0" borderId="5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44" fontId="2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H44" sqref="H4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.7109375" customWidth="1"/>
    <col min="8" max="8" width="11.28515625" customWidth="1"/>
    <col min="9" max="9" width="10.7109375" customWidth="1"/>
  </cols>
  <sheetData>
    <row r="1" spans="1:10">
      <c r="A1" s="3"/>
      <c r="B1" s="50" t="s">
        <v>8</v>
      </c>
      <c r="C1" s="50"/>
      <c r="D1" s="50"/>
      <c r="E1" s="50"/>
      <c r="F1" s="50"/>
      <c r="G1" s="50"/>
      <c r="H1" s="26">
        <v>40575</v>
      </c>
    </row>
    <row r="2" spans="1:10">
      <c r="B2" s="5" t="s">
        <v>10</v>
      </c>
      <c r="C2" s="55" t="s">
        <v>9</v>
      </c>
      <c r="D2" s="56"/>
      <c r="E2" s="53" t="s">
        <v>16</v>
      </c>
      <c r="F2" s="54"/>
      <c r="G2" s="53" t="s">
        <v>21</v>
      </c>
      <c r="H2" s="54"/>
      <c r="I2" s="9"/>
    </row>
    <row r="3" spans="1:10">
      <c r="B3" s="5" t="s">
        <v>11</v>
      </c>
      <c r="C3" s="17">
        <v>40575</v>
      </c>
      <c r="D3" s="18"/>
      <c r="E3" s="18"/>
      <c r="F3" s="18"/>
      <c r="G3" s="15"/>
      <c r="H3" s="16"/>
      <c r="I3" s="9"/>
    </row>
    <row r="4" spans="1:10">
      <c r="B4" s="5" t="s">
        <v>6</v>
      </c>
      <c r="C4" s="19">
        <v>6279</v>
      </c>
      <c r="D4" s="20"/>
      <c r="E4" s="20"/>
      <c r="F4" s="20"/>
      <c r="G4" s="20"/>
      <c r="H4" s="21"/>
      <c r="I4" s="2"/>
      <c r="J4" s="2"/>
    </row>
    <row r="5" spans="1:10">
      <c r="C5" s="2"/>
      <c r="G5" s="8"/>
      <c r="H5" s="34"/>
    </row>
    <row r="6" spans="1:10">
      <c r="B6" s="32" t="s">
        <v>0</v>
      </c>
      <c r="C6" s="57" t="s">
        <v>40</v>
      </c>
      <c r="D6" s="57"/>
      <c r="E6" s="57"/>
    </row>
    <row r="7" spans="1:10">
      <c r="B7" s="11" t="s">
        <v>12</v>
      </c>
      <c r="C7" s="41" t="s">
        <v>44</v>
      </c>
      <c r="D7" s="41" t="s">
        <v>50</v>
      </c>
      <c r="E7" s="41" t="s">
        <v>51</v>
      </c>
      <c r="F7" s="22" t="s">
        <v>46</v>
      </c>
      <c r="G7" s="22" t="s">
        <v>52</v>
      </c>
      <c r="H7" s="22"/>
    </row>
    <row r="8" spans="1:10">
      <c r="B8" s="11" t="s">
        <v>13</v>
      </c>
      <c r="C8" s="41">
        <v>2761</v>
      </c>
      <c r="D8" s="41" t="s">
        <v>45</v>
      </c>
      <c r="E8" s="41" t="s">
        <v>45</v>
      </c>
      <c r="F8" s="22">
        <v>2770</v>
      </c>
      <c r="G8" s="22">
        <v>2758</v>
      </c>
      <c r="H8" s="22"/>
    </row>
    <row r="9" spans="1:10">
      <c r="B9" s="11" t="s">
        <v>6</v>
      </c>
      <c r="C9" s="42">
        <v>1850</v>
      </c>
      <c r="D9" s="42">
        <v>612.26</v>
      </c>
      <c r="E9" s="42">
        <v>131.44</v>
      </c>
      <c r="F9" s="20">
        <v>150</v>
      </c>
      <c r="G9" s="20">
        <v>11.5</v>
      </c>
      <c r="H9" s="20"/>
    </row>
    <row r="10" spans="1:10">
      <c r="B10" s="13"/>
      <c r="C10" s="2"/>
      <c r="D10" s="2"/>
      <c r="E10" s="2"/>
      <c r="F10" s="2"/>
      <c r="G10" s="29" t="s">
        <v>15</v>
      </c>
      <c r="H10" s="21">
        <f>SUM(C9:H9)</f>
        <v>2755.2000000000003</v>
      </c>
    </row>
    <row r="11" spans="1:10">
      <c r="B11" s="1" t="s">
        <v>1</v>
      </c>
      <c r="C11" s="57" t="s">
        <v>24</v>
      </c>
      <c r="D11" s="57"/>
      <c r="E11" s="57"/>
    </row>
    <row r="12" spans="1:10">
      <c r="B12" s="11" t="s">
        <v>12</v>
      </c>
      <c r="C12" s="22" t="s">
        <v>4</v>
      </c>
      <c r="D12" s="22" t="s">
        <v>4</v>
      </c>
      <c r="E12" s="22" t="s">
        <v>53</v>
      </c>
      <c r="F12" s="22" t="s">
        <v>49</v>
      </c>
      <c r="G12" s="22"/>
      <c r="H12" s="22"/>
    </row>
    <row r="13" spans="1:10">
      <c r="B13" s="11" t="s">
        <v>13</v>
      </c>
      <c r="C13" s="22" t="s">
        <v>7</v>
      </c>
      <c r="D13" s="22" t="s">
        <v>7</v>
      </c>
      <c r="E13" s="22">
        <v>2768</v>
      </c>
      <c r="F13" s="22">
        <v>2763</v>
      </c>
      <c r="G13" s="22"/>
      <c r="H13" s="22"/>
    </row>
    <row r="14" spans="1:10">
      <c r="B14" s="11" t="s">
        <v>6</v>
      </c>
      <c r="C14" s="20">
        <v>46.53</v>
      </c>
      <c r="D14" s="20">
        <v>46.53</v>
      </c>
      <c r="E14" s="20">
        <v>43.61</v>
      </c>
      <c r="F14" s="20">
        <v>70.5</v>
      </c>
      <c r="G14" s="20"/>
      <c r="H14" s="20"/>
    </row>
    <row r="15" spans="1:10">
      <c r="B15" s="13"/>
      <c r="C15" s="2"/>
      <c r="D15" s="2"/>
      <c r="E15" s="2"/>
      <c r="F15" s="2"/>
      <c r="G15" s="29" t="s">
        <v>15</v>
      </c>
      <c r="H15" s="21">
        <f>SUM(C14:H14)</f>
        <v>207.17000000000002</v>
      </c>
    </row>
    <row r="16" spans="1:10">
      <c r="B16" s="1" t="s">
        <v>2</v>
      </c>
      <c r="C16" s="2"/>
    </row>
    <row r="17" spans="2:10">
      <c r="B17" s="11" t="s">
        <v>12</v>
      </c>
      <c r="C17" s="20" t="s">
        <v>14</v>
      </c>
      <c r="D17" s="22" t="s">
        <v>53</v>
      </c>
      <c r="E17" s="22" t="s">
        <v>49</v>
      </c>
      <c r="F17" s="22" t="s">
        <v>54</v>
      </c>
      <c r="G17" s="22"/>
      <c r="H17" s="22"/>
    </row>
    <row r="18" spans="2:10">
      <c r="B18" s="11" t="s">
        <v>13</v>
      </c>
      <c r="C18" s="20" t="s">
        <v>7</v>
      </c>
      <c r="D18" s="22">
        <v>2767</v>
      </c>
      <c r="E18" s="22">
        <v>2764</v>
      </c>
      <c r="F18" s="22">
        <v>2760</v>
      </c>
      <c r="G18" s="22"/>
      <c r="H18" s="22"/>
    </row>
    <row r="19" spans="2:10">
      <c r="B19" s="11" t="s">
        <v>6</v>
      </c>
      <c r="C19" s="20">
        <v>2260.5</v>
      </c>
      <c r="D19" s="20">
        <v>158.28</v>
      </c>
      <c r="E19" s="20">
        <v>70.5</v>
      </c>
      <c r="F19" s="20">
        <v>11.5</v>
      </c>
      <c r="G19" s="20"/>
      <c r="H19" s="20"/>
    </row>
    <row r="20" spans="2:10">
      <c r="B20" s="13"/>
      <c r="C20" s="2"/>
      <c r="D20" s="2"/>
      <c r="E20" s="2"/>
      <c r="F20" s="2"/>
      <c r="G20" s="29" t="s">
        <v>15</v>
      </c>
      <c r="H20" s="21">
        <f>SUM(C19:H19)</f>
        <v>2500.7800000000002</v>
      </c>
    </row>
    <row r="21" spans="2:10">
      <c r="B21" s="1" t="s">
        <v>3</v>
      </c>
      <c r="C21" s="2"/>
    </row>
    <row r="22" spans="2:10">
      <c r="B22" s="11" t="s">
        <v>12</v>
      </c>
      <c r="C22" s="20" t="s">
        <v>14</v>
      </c>
      <c r="D22" s="22" t="s">
        <v>54</v>
      </c>
      <c r="E22" s="22" t="s">
        <v>49</v>
      </c>
      <c r="F22" s="22"/>
      <c r="G22" s="22"/>
      <c r="H22" s="22"/>
    </row>
    <row r="23" spans="2:10">
      <c r="B23" s="11" t="s">
        <v>13</v>
      </c>
      <c r="C23" s="20" t="s">
        <v>7</v>
      </c>
      <c r="D23" s="22">
        <v>2759</v>
      </c>
      <c r="E23" s="22">
        <v>2765</v>
      </c>
      <c r="F23" s="22"/>
      <c r="G23" s="22"/>
      <c r="H23" s="22"/>
    </row>
    <row r="24" spans="2:10">
      <c r="B24" s="11" t="s">
        <v>6</v>
      </c>
      <c r="C24" s="20"/>
      <c r="D24" s="20">
        <v>11.5</v>
      </c>
      <c r="E24" s="20">
        <v>17.5</v>
      </c>
      <c r="F24" s="20"/>
      <c r="G24" s="20"/>
      <c r="H24" s="20"/>
    </row>
    <row r="25" spans="2:10">
      <c r="B25" s="13"/>
      <c r="C25" s="2"/>
      <c r="D25" s="2"/>
      <c r="E25" s="2"/>
      <c r="F25" s="2"/>
      <c r="G25" s="29" t="s">
        <v>15</v>
      </c>
      <c r="H25" s="21">
        <f>SUM(C24:H24)</f>
        <v>29</v>
      </c>
    </row>
    <row r="26" spans="2:10">
      <c r="B26" s="50" t="s">
        <v>19</v>
      </c>
      <c r="C26" s="50"/>
      <c r="D26" s="50"/>
      <c r="E26" s="50"/>
      <c r="F26" s="50"/>
      <c r="G26" s="50"/>
    </row>
    <row r="27" spans="2:10">
      <c r="B27" s="6" t="s">
        <v>5</v>
      </c>
      <c r="C27" s="30" t="s">
        <v>34</v>
      </c>
      <c r="D27" s="30" t="s">
        <v>35</v>
      </c>
      <c r="E27" s="30">
        <v>2761</v>
      </c>
      <c r="F27" s="30" t="s">
        <v>47</v>
      </c>
      <c r="G27" s="30">
        <v>2772</v>
      </c>
      <c r="H27" s="30" t="s">
        <v>35</v>
      </c>
    </row>
    <row r="28" spans="2:10">
      <c r="B28" s="7" t="s">
        <v>10</v>
      </c>
      <c r="C28" s="23" t="s">
        <v>36</v>
      </c>
      <c r="D28" s="23" t="s">
        <v>55</v>
      </c>
      <c r="E28" s="23" t="s">
        <v>56</v>
      </c>
      <c r="F28" s="24" t="s">
        <v>48</v>
      </c>
      <c r="G28" s="24" t="s">
        <v>57</v>
      </c>
      <c r="H28" s="24" t="s">
        <v>58</v>
      </c>
      <c r="I28" s="4"/>
      <c r="J28" s="4"/>
    </row>
    <row r="29" spans="2:10">
      <c r="B29" s="7" t="s">
        <v>6</v>
      </c>
      <c r="C29" s="20">
        <v>32</v>
      </c>
      <c r="D29" s="21">
        <v>300</v>
      </c>
      <c r="E29" s="21">
        <v>10.76</v>
      </c>
      <c r="F29" s="21">
        <v>12</v>
      </c>
      <c r="G29" s="21">
        <v>9.75</v>
      </c>
      <c r="H29" s="21">
        <v>314</v>
      </c>
      <c r="I29" s="2"/>
      <c r="J29" s="2"/>
    </row>
    <row r="30" spans="2:10">
      <c r="C30" s="2"/>
      <c r="G30" s="8" t="s">
        <v>15</v>
      </c>
      <c r="H30" s="21">
        <f>SUM(C29:H29)</f>
        <v>678.51</v>
      </c>
    </row>
    <row r="31" spans="2:10">
      <c r="B31" s="51" t="s">
        <v>20</v>
      </c>
      <c r="C31" s="52"/>
      <c r="D31" s="52"/>
      <c r="E31" s="52"/>
      <c r="F31" s="52"/>
      <c r="G31" s="52"/>
    </row>
    <row r="32" spans="2:10">
      <c r="B32" s="6" t="s">
        <v>5</v>
      </c>
      <c r="C32" s="30">
        <v>2761</v>
      </c>
      <c r="D32" s="12">
        <v>2769</v>
      </c>
      <c r="E32" s="12">
        <v>2762</v>
      </c>
      <c r="F32" s="12"/>
      <c r="G32" s="12"/>
      <c r="H32" s="12"/>
    </row>
    <row r="33" spans="2:8">
      <c r="B33" s="7" t="s">
        <v>10</v>
      </c>
      <c r="C33" s="23" t="s">
        <v>16</v>
      </c>
      <c r="D33" s="23" t="s">
        <v>16</v>
      </c>
      <c r="E33" s="23" t="s">
        <v>16</v>
      </c>
      <c r="F33" s="24"/>
      <c r="G33" s="24"/>
      <c r="H33" s="24"/>
    </row>
    <row r="34" spans="2:8">
      <c r="B34" s="7" t="s">
        <v>6</v>
      </c>
      <c r="C34" s="20">
        <v>1400</v>
      </c>
      <c r="D34" s="21">
        <v>500</v>
      </c>
      <c r="E34" s="21">
        <v>955</v>
      </c>
      <c r="F34" s="21"/>
      <c r="G34" s="21"/>
      <c r="H34" s="21"/>
    </row>
    <row r="35" spans="2:8">
      <c r="B35" s="10"/>
      <c r="C35" s="28"/>
      <c r="D35" s="27"/>
      <c r="E35" s="27"/>
      <c r="F35" s="58" t="s">
        <v>30</v>
      </c>
      <c r="G35" s="59"/>
      <c r="H35" s="33">
        <f>SUM(C34:H34)</f>
        <v>2855</v>
      </c>
    </row>
    <row r="36" spans="2:8">
      <c r="B36" s="11" t="s">
        <v>18</v>
      </c>
      <c r="C36" s="25">
        <f>SUM(C4:C5)</f>
        <v>6279</v>
      </c>
      <c r="F36" s="43" t="s">
        <v>25</v>
      </c>
      <c r="G36" s="43"/>
      <c r="H36" s="33">
        <v>1850.76</v>
      </c>
    </row>
    <row r="37" spans="2:8">
      <c r="B37" s="11" t="s">
        <v>17</v>
      </c>
      <c r="C37" s="25">
        <f>SUM(H10)+H15+H20+H25+H30</f>
        <v>6170.6600000000008</v>
      </c>
      <c r="F37" s="46" t="s">
        <v>26</v>
      </c>
      <c r="G37" s="46"/>
      <c r="H37" s="25">
        <f>SUM(H35)-H36</f>
        <v>1004.24</v>
      </c>
    </row>
    <row r="38" spans="2:8">
      <c r="B38" s="13" t="s">
        <v>23</v>
      </c>
      <c r="C38" s="35">
        <f>SUM(C36-C37)</f>
        <v>108.33999999999924</v>
      </c>
      <c r="F38" s="43" t="s">
        <v>60</v>
      </c>
      <c r="G38" s="43"/>
      <c r="H38" s="21"/>
    </row>
    <row r="39" spans="2:8">
      <c r="B39" s="11" t="s">
        <v>25</v>
      </c>
      <c r="C39" s="21">
        <v>1850.76</v>
      </c>
      <c r="D39" s="36"/>
      <c r="F39" s="43" t="s">
        <v>27</v>
      </c>
      <c r="G39" s="43"/>
      <c r="H39" s="25">
        <f>SUM(E4:F4)</f>
        <v>0</v>
      </c>
    </row>
    <row r="40" spans="2:8">
      <c r="B40" s="14" t="s">
        <v>37</v>
      </c>
      <c r="C40" s="21">
        <v>1200.83</v>
      </c>
      <c r="F40" s="46"/>
      <c r="G40" s="46"/>
      <c r="H40" s="37"/>
    </row>
    <row r="41" spans="2:8">
      <c r="B41" s="38" t="s">
        <v>28</v>
      </c>
      <c r="C41" s="39">
        <f>SUM(C38)-C39-C40</f>
        <v>-2943.2500000000009</v>
      </c>
      <c r="F41" s="43" t="s">
        <v>29</v>
      </c>
      <c r="G41" s="43"/>
      <c r="H41" s="21">
        <v>1004.24</v>
      </c>
    </row>
    <row r="42" spans="2:8">
      <c r="B42" s="14" t="s">
        <v>22</v>
      </c>
      <c r="C42" s="21">
        <v>-203.15</v>
      </c>
      <c r="F42" s="44" t="s">
        <v>33</v>
      </c>
      <c r="G42" s="45"/>
      <c r="H42" s="31">
        <v>-1573.55</v>
      </c>
    </row>
    <row r="43" spans="2:8">
      <c r="B43" s="11" t="s">
        <v>31</v>
      </c>
      <c r="C43" s="21">
        <v>-3146.4</v>
      </c>
      <c r="F43" s="44" t="s">
        <v>32</v>
      </c>
      <c r="G43" s="45"/>
      <c r="H43" s="21">
        <v>-569.30999999999995</v>
      </c>
    </row>
    <row r="45" spans="2:8">
      <c r="D45" s="40" t="s">
        <v>42</v>
      </c>
      <c r="E45" s="21">
        <v>1850</v>
      </c>
      <c r="F45" s="47" t="s">
        <v>38</v>
      </c>
      <c r="G45" s="48"/>
      <c r="H45" s="21">
        <v>-94.53</v>
      </c>
    </row>
    <row r="46" spans="2:8">
      <c r="D46" s="40" t="s">
        <v>43</v>
      </c>
      <c r="E46" s="21">
        <v>-1944.53</v>
      </c>
      <c r="F46" s="47" t="s">
        <v>41</v>
      </c>
      <c r="G46" s="48"/>
      <c r="H46" s="21">
        <v>-1200.83</v>
      </c>
    </row>
    <row r="47" spans="2:8">
      <c r="B47" s="12" t="s">
        <v>59</v>
      </c>
      <c r="C47" s="60">
        <v>1800</v>
      </c>
      <c r="F47" s="47" t="s">
        <v>39</v>
      </c>
      <c r="G47" s="49"/>
      <c r="H47" s="21">
        <v>-1295.3599999999999</v>
      </c>
    </row>
  </sheetData>
  <mergeCells count="20"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  <mergeCell ref="F42:G42"/>
    <mergeCell ref="F39:G39"/>
    <mergeCell ref="F40:G40"/>
    <mergeCell ref="F45:G4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2012-11-16T19:06:15Z</cp:lastPrinted>
  <dcterms:created xsi:type="dcterms:W3CDTF">2012-11-08T14:39:58Z</dcterms:created>
  <dcterms:modified xsi:type="dcterms:W3CDTF">2012-11-16T19:12:12Z</dcterms:modified>
</cp:coreProperties>
</file>