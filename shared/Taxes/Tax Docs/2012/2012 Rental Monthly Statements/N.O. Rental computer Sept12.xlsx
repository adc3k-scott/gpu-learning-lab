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<sst xmlns="http://schemas.openxmlformats.org/spreadsheetml/2006/main" count="85" uniqueCount="53">
  <si>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</si>
  <si>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</si>
  <si>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</si>
  <si>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</si>
  <si>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</si>
  <si>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</si>
  <si>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</si>
  <si>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</si>
  <si>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</si>
  <si>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</si>
  <si>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</si>
  <si>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</si>
  <si>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</si>
  <si>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</si>
  <si>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</si>
  <si>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</si>
  <si>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</si>
  <si>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</si>
  <si>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</si>
  <si>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</si>
  <si>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</si>
  <si>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</si>
  <si>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</si>
  <si>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</si>
  <si>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</si>
  <si>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</si>
  <si>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</si>
  <si>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</si>
  <si>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</si>
  <si>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</si>
  <si>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</si>
  <si>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</si>
  <si>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</si>
  <si>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</si>
  <si>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</si>
  <si>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</si>
  <si>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</si>
  <si>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</si>
  <si>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</si>
  <si>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</si>
  <si>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</si>
  <si>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</si>
  <si>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</si>
  <si>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</si>
  <si>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</si>
  <si>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</si>
  <si>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</si>
  <si>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</si>
  <si>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</si>
  <si>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>NFS fee</t>
  </si>
  <si>
    <t>Wire fee</t>
  </si>
  <si>
    <t>SWB</t>
  </si>
  <si>
    <t>Sept-12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</si>
</sst>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52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41156</v>
      </c>
      <c r="C3" s="20"/>
      <c r="D3" s="20"/>
      <c r="E3" s="20"/>
      <c r="F3" s="20"/>
      <c r="G3" s="20"/>
    </row>
    <row r="4" spans="1:7">
      <c r="A4" s="7" t="s">
        <v>2</v>
      </c>
      <c r="B4" s="21">
        <v>5594</v>
      </c>
      <c r="C4" s="21"/>
      <c r="D4" s="21">
        <v>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 t="s">
        <v>51</v>
      </c>
      <c r="C7" s="8"/>
      <c r="D7" s="8"/>
      <c r="E7" s="8"/>
      <c r="F7" s="8"/>
      <c r="G7" s="8"/>
    </row>
    <row r="8" spans="1:7">
      <c r="A8" s="6" t="s">
        <v>5</v>
      </c>
      <c r="B8" s="8">
        <v>2858</v>
      </c>
      <c r="C8" s="8"/>
      <c r="D8" s="8"/>
      <c r="E8" s="8"/>
      <c r="F8" s="8"/>
      <c r="G8" s="9"/>
    </row>
    <row r="9" spans="1:7">
      <c r="A9" s="6" t="s">
        <v>2</v>
      </c>
      <c r="B9" s="9">
        <v>155.58000000000001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155.58000000000001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 t="s">
        <v>51</v>
      </c>
      <c r="F12" s="8" t="s">
        <v>36</v>
      </c>
      <c r="G12" s="8"/>
    </row>
    <row r="13" spans="1:7">
      <c r="A13" s="6" t="s">
        <v>5</v>
      </c>
      <c r="B13" s="8" t="s">
        <v>34</v>
      </c>
      <c r="C13" s="8" t="s">
        <v>34</v>
      </c>
      <c r="D13" s="8"/>
      <c r="E13" s="8">
        <v>2861</v>
      </c>
      <c r="F13" s="8">
        <v>2862</v>
      </c>
      <c r="G13" s="8"/>
    </row>
    <row r="14" spans="1:7">
      <c r="A14" s="6" t="s">
        <v>2</v>
      </c>
      <c r="B14" s="9">
        <v>52.11</v>
      </c>
      <c r="C14" s="9">
        <v>52.11</v>
      </c>
      <c r="D14" s="9">
        <v>0</v>
      </c>
      <c r="E14" s="9">
        <v>284.64</v>
      </c>
      <c r="F14" s="9">
        <v>1125</v>
      </c>
      <c r="G14" s="9">
        <v>0</v>
      </c>
    </row>
    <row r="15" spans="1:7">
      <c r="A15" s="2"/>
      <c r="F15" s="4" t="s">
        <v>35</v>
      </c>
      <c r="G15" s="9">
        <f>SUM(B14:G14)</f>
        <v>1513.8600000000001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 t="s">
        <v>51</v>
      </c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>
        <v>2859</v>
      </c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337.64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2560.4899999999998</v>
      </c>
    </row>
    <row r="21" spans="1:7">
      <c r="A21" s="10" t="s">
        <v>8</v>
      </c>
    </row>
    <row r="22" spans="1:7">
      <c r="A22" s="6" t="s">
        <v>4</v>
      </c>
      <c r="B22" s="8"/>
      <c r="C22" s="8" t="s">
        <v>51</v>
      </c>
      <c r="D22" s="8"/>
      <c r="E22" s="8"/>
      <c r="F22" s="8"/>
      <c r="G22" s="8"/>
    </row>
    <row r="23" spans="1:7">
      <c r="A23" s="6" t="s">
        <v>5</v>
      </c>
      <c r="B23" s="8"/>
      <c r="C23" s="8">
        <v>2860</v>
      </c>
      <c r="D23" s="8"/>
      <c r="E23" s="8"/>
      <c r="F23" s="8"/>
      <c r="G23" s="8"/>
    </row>
    <row r="24" spans="1:7">
      <c r="A24" s="6" t="s">
        <v>2</v>
      </c>
      <c r="B24" s="9"/>
      <c r="C24" s="9">
        <v>44.91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44.91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50</v>
      </c>
      <c r="F28" s="8" t="s">
        <v>49</v>
      </c>
      <c r="G28" s="8" t="s">
        <v>42</v>
      </c>
    </row>
    <row r="29" spans="1:7">
      <c r="A29" s="11" t="s">
        <v>2</v>
      </c>
      <c r="B29" s="9">
        <v>12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59.85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2863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1200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1200</v>
      </c>
    </row>
    <row r="36" spans="1:7">
      <c r="A36" s="6" t="s">
        <v>9</v>
      </c>
      <c r="B36" s="16">
        <v>5594</v>
      </c>
      <c r="E36" s="15" t="s">
        <v>22</v>
      </c>
      <c r="F36" s="15"/>
      <c r="G36" s="16">
        <v>0</v>
      </c>
    </row>
    <row r="37" spans="1:7">
      <c r="A37" s="6" t="s">
        <v>10</v>
      </c>
      <c r="B37" s="16">
        <f>SUM(G10+G15+G20+G25+G30)</f>
        <v>4334.6900000000005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1259.3099999999995</v>
      </c>
      <c r="E38" s="15" t="s">
        <v>23</v>
      </c>
      <c r="F38" s="15"/>
      <c r="G38" s="16">
        <f>SUM(G35-G36-G37)</f>
        <v>-300.86999999999989</v>
      </c>
    </row>
    <row r="39" spans="1:7">
      <c r="A39" s="6" t="s">
        <v>12</v>
      </c>
      <c r="B39" s="16">
        <v>0</v>
      </c>
      <c r="E39" s="15" t="s">
        <v>24</v>
      </c>
      <c r="F39" s="15"/>
      <c r="G39" s="16">
        <v>0</v>
      </c>
    </row>
    <row r="40" spans="1:7">
      <c r="A40" s="6" t="s">
        <v>47</v>
      </c>
      <c r="B40" s="16">
        <v>1500.87</v>
      </c>
      <c r="E40" s="15" t="s">
        <v>25</v>
      </c>
      <c r="F40" s="15"/>
      <c r="G40" s="16">
        <v>0</v>
      </c>
    </row>
    <row r="41" spans="1:7">
      <c r="A41" s="6" t="s">
        <v>13</v>
      </c>
      <c r="B41" s="16">
        <f>SUM(B38-B39-B40)</f>
        <v>-241.5600000000004</v>
      </c>
      <c r="E41" s="15" t="s">
        <v>26</v>
      </c>
      <c r="F41" s="15"/>
      <c r="G41" s="16"/>
    </row>
    <row r="42" spans="1:7">
      <c r="A42" s="6" t="s">
        <v>43</v>
      </c>
      <c r="B42" s="16">
        <v>-2908.05</v>
      </c>
      <c r="E42" s="15" t="s">
        <v>27</v>
      </c>
      <c r="F42" s="15"/>
      <c r="G42" s="16">
        <v>-300.87</v>
      </c>
    </row>
    <row r="43" spans="1:7">
      <c r="A43" s="6" t="s">
        <v>14</v>
      </c>
      <c r="B43" s="16">
        <v>-3149.61</v>
      </c>
      <c r="E43" s="15" t="s">
        <v>29</v>
      </c>
      <c r="F43" s="15"/>
      <c r="G43" s="16">
        <v>2025.88</v>
      </c>
    </row>
    <row r="44" spans="1:7">
      <c r="A44" s="2"/>
      <c r="E44" s="15" t="s">
        <v>28</v>
      </c>
      <c r="F44" s="15"/>
      <c r="G44" s="1">
        <v>1725.01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2013-12-08T23:02:21Z</cp:lastPrinted>
  <dcterms:created xsi:type="dcterms:W3CDTF">2013-12-08T18:16:41Z</dcterms:created>
  <dcterms:modified xsi:type="dcterms:W3CDTF">2013-12-08T23:27:57Z</dcterms:modified>
</cp:coreProperties>
</file>