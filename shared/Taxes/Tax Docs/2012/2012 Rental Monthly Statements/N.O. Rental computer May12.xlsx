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5" i="1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<sst xmlns="http://schemas.openxmlformats.org/spreadsheetml/2006/main" count="78" uniqueCount="51">
  <si>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</si>
  <si>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</si>
  <si>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</si>
  <si>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</si>
  <si>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</si>
  <si>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</si>
  <si>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</si>
  <si>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</si>
  <si>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</si>
  <si>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</si>
  <si>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</si>
  <si>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</si>
  <si>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</si>
  <si>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</si>
  <si>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</si>
  <si>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</si>
  <si>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</si>
  <si>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</si>
  <si>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</si>
  <si>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</si>
  <si>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</si>
  <si>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</si>
  <si>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</si>
  <si>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</si>
  <si>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</si>
  <si>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</si>
  <si>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</si>
  <si>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</si>
  <si>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</si>
  <si>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</si>
  <si>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</si>
  <si>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</si>
  <si>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</si>
  <si>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</si>
  <si>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</si>
  <si>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</si>
  <si>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</si>
  <si>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</si>
  <si>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</si>
  <si>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</si>
  <si>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</si>
  <si>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</si>
  <si>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</si>
  <si>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</si>
  <si>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</si>
  <si>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</si>
  <si>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Johnson street note</t>
  </si>
  <si>
    <t>Fid Life</t>
  </si>
  <si>
    <t>NFS fee</t>
  </si>
  <si>
    <t>Wire fee</t>
  </si>
  <si>
    <t>May-12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</si>
</sst>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16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50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41030</v>
      </c>
      <c r="C3" s="20"/>
      <c r="D3" s="20">
        <v>41051</v>
      </c>
      <c r="E3" s="20"/>
      <c r="F3" s="20"/>
      <c r="G3" s="20"/>
    </row>
    <row r="4" spans="1:7">
      <c r="A4" s="7" t="s">
        <v>2</v>
      </c>
      <c r="B4" s="21">
        <v>5620</v>
      </c>
      <c r="C4" s="21"/>
      <c r="D4" s="21">
        <v>1550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/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/>
      <c r="E14" s="9"/>
      <c r="F14" s="9"/>
      <c r="G14" s="9"/>
    </row>
    <row r="15" spans="1:7">
      <c r="A15" s="2"/>
      <c r="F15" s="4" t="s">
        <v>35</v>
      </c>
      <c r="G15" s="9">
        <f>SUM(B14:G14)</f>
        <v>98.64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/>
      <c r="D19" s="9"/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/>
      <c r="D24" s="9"/>
      <c r="E24" s="9"/>
      <c r="F24" s="9"/>
      <c r="G24" s="9"/>
    </row>
    <row r="25" spans="1:7">
      <c r="A25" s="2"/>
      <c r="F25" s="4" t="s">
        <v>35</v>
      </c>
      <c r="G25" s="9"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/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/>
      <c r="D28" s="8" t="s">
        <v>47</v>
      </c>
      <c r="E28" s="8" t="s">
        <v>49</v>
      </c>
      <c r="F28" s="8" t="s">
        <v>48</v>
      </c>
      <c r="G28" s="8" t="s">
        <v>42</v>
      </c>
    </row>
    <row r="29" spans="1:7">
      <c r="A29" s="11" t="s">
        <v>2</v>
      </c>
      <c r="B29" s="9">
        <v>62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109.85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2833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4651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4651</v>
      </c>
    </row>
    <row r="36" spans="1:7">
      <c r="A36" s="6" t="s">
        <v>9</v>
      </c>
      <c r="B36" s="16">
        <v>5620</v>
      </c>
      <c r="E36" s="15" t="s">
        <v>22</v>
      </c>
      <c r="F36" s="15"/>
      <c r="G36" s="16">
        <v>1094.98</v>
      </c>
    </row>
    <row r="37" spans="1:7">
      <c r="A37" s="6" t="s">
        <v>10</v>
      </c>
      <c r="B37" s="16">
        <f>SUM(G10+G15+G20+G25+G30)</f>
        <v>2431.3399999999997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3188.6600000000003</v>
      </c>
      <c r="E38" s="15" t="s">
        <v>23</v>
      </c>
      <c r="F38" s="15"/>
      <c r="G38" s="16">
        <f>SUM(G35-G36-G37)</f>
        <v>2055.15</v>
      </c>
    </row>
    <row r="39" spans="1:7">
      <c r="A39" s="6" t="s">
        <v>12</v>
      </c>
      <c r="B39" s="16">
        <v>1094.98</v>
      </c>
      <c r="E39" s="15" t="s">
        <v>24</v>
      </c>
      <c r="F39" s="15"/>
      <c r="G39" s="16">
        <v>0</v>
      </c>
    </row>
    <row r="40" spans="1:7">
      <c r="A40" s="6" t="s">
        <v>46</v>
      </c>
      <c r="B40" s="16">
        <v>1500.87</v>
      </c>
      <c r="E40" s="15" t="s">
        <v>25</v>
      </c>
      <c r="F40" s="15"/>
      <c r="G40" s="16">
        <v>1550</v>
      </c>
    </row>
    <row r="41" spans="1:7">
      <c r="A41" s="6" t="s">
        <v>13</v>
      </c>
      <c r="B41" s="16">
        <f>SUM(B38-B39-B40)</f>
        <v>592.8100000000004</v>
      </c>
      <c r="E41" s="15" t="s">
        <v>26</v>
      </c>
      <c r="F41" s="15"/>
      <c r="G41" s="16"/>
    </row>
    <row r="42" spans="1:7">
      <c r="A42" s="6" t="s">
        <v>43</v>
      </c>
      <c r="B42" s="16">
        <v>-2507.98</v>
      </c>
      <c r="E42" s="15" t="s">
        <v>27</v>
      </c>
      <c r="F42" s="15"/>
      <c r="G42" s="16">
        <v>505.15</v>
      </c>
    </row>
    <row r="43" spans="1:7">
      <c r="A43" s="6" t="s">
        <v>14</v>
      </c>
      <c r="B43" s="16">
        <v>-1915.09</v>
      </c>
      <c r="E43" s="15" t="s">
        <v>29</v>
      </c>
      <c r="F43" s="15"/>
      <c r="G43" s="16">
        <v>257.45</v>
      </c>
    </row>
    <row r="44" spans="1:7">
      <c r="A44" s="2"/>
      <c r="E44" s="15" t="s">
        <v>28</v>
      </c>
      <c r="F44" s="15"/>
      <c r="G44" s="1">
        <v>762.6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2013-12-08T21:51:22Z</cp:lastPrinted>
  <dcterms:created xsi:type="dcterms:W3CDTF">2013-12-08T18:16:41Z</dcterms:created>
  <dcterms:modified xsi:type="dcterms:W3CDTF">2013-12-08T21:53:19Z</dcterms:modified>
</cp:coreProperties>
</file>