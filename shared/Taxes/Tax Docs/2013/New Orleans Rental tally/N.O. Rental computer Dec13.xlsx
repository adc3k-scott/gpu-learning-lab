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35" i="1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<sst xmlns="http://schemas.openxmlformats.org/spreadsheetml/2006/main" count="86" uniqueCount="53">
  <si>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</si>
  <si>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</si>
  <si>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</si>
  <si>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</si>
  <si>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</si>
  <si>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</si>
  <si>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</si>
  <si>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</si>
  <si>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</si>
  <si>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</si>
  <si>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</si>
  <si>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</si>
  <si>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</si>
  <si>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</si>
  <si>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</si>
  <si>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</si>
  <si>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</si>
  <si>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</si>
  <si>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</si>
  <si>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</si>
  <si>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</si>
  <si>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</si>
  <si>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</si>
  <si>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</si>
  <si>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</si>
  <si>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</si>
  <si>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</si>
  <si>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</si>
  <si>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</si>
  <si>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</si>
  <si>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</si>
  <si>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</si>
  <si>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</si>
  <si>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</si>
  <si>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</si>
  <si>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</si>
  <si>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</si>
  <si>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</si>
  <si>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</si>
  <si>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Previous Total</t>
  </si>
  <si>
    <t>total TX fund transfer</t>
  </si>
  <si>
    <t>Johnson street note</t>
  </si>
  <si>
    <t>Fid Life</t>
  </si>
  <si>
    <t>Fb</t>
  </si>
  <si>
    <t>service ch</t>
  </si>
  <si>
    <t>SWB</t>
  </si>
  <si>
    <t xml:space="preserve">Southern Insurance </t>
  </si>
  <si>
    <t>Dec-13</t>
  </si>
  <si>
    <t>DD</t>
  </si>
  <si>
    <t>NFS</t>
  </si>
  <si>
    <t>OD</t>
  </si>
  <si>
    <t>L Tomsu</t>
  </si>
  <si>
    <t>1st community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</si>
</sst>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31" workbookViewId="0">
      <selection activeCell="I43" sqref="I43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3" t="s">
        <v>19</v>
      </c>
      <c r="C1" s="23"/>
      <c r="D1" s="23"/>
      <c r="E1" s="23"/>
      <c r="F1" s="24" t="s">
        <v>47</v>
      </c>
      <c r="G1" s="24"/>
    </row>
    <row r="2" spans="1:7">
      <c r="A2" s="6" t="s">
        <v>0</v>
      </c>
      <c r="B2" s="22" t="s">
        <v>16</v>
      </c>
      <c r="C2" s="22"/>
      <c r="D2" s="22" t="s">
        <v>17</v>
      </c>
      <c r="E2" s="22"/>
      <c r="F2" s="22" t="s">
        <v>18</v>
      </c>
      <c r="G2" s="22"/>
    </row>
    <row r="3" spans="1:7">
      <c r="A3" s="6" t="s">
        <v>1</v>
      </c>
      <c r="B3" s="15">
        <v>41610</v>
      </c>
      <c r="C3" s="15"/>
      <c r="D3" s="15"/>
      <c r="E3" s="15"/>
      <c r="F3" s="15">
        <v>1066</v>
      </c>
      <c r="G3" s="15"/>
    </row>
    <row r="4" spans="1:7">
      <c r="A4" s="6" t="s">
        <v>2</v>
      </c>
      <c r="B4" s="16">
        <v>4167</v>
      </c>
      <c r="C4" s="16"/>
      <c r="D4" s="16"/>
      <c r="E4" s="16"/>
      <c r="F4" s="16">
        <v>2000</v>
      </c>
      <c r="G4" s="16"/>
    </row>
    <row r="5" spans="1:7">
      <c r="A5" s="1"/>
    </row>
    <row r="6" spans="1:7">
      <c r="A6" s="2" t="s">
        <v>3</v>
      </c>
    </row>
    <row r="7" spans="1:7">
      <c r="A7" s="5" t="s">
        <v>4</v>
      </c>
      <c r="B7" s="7"/>
      <c r="C7" s="7"/>
      <c r="D7" s="7"/>
      <c r="E7" s="7"/>
      <c r="F7" s="7"/>
      <c r="G7" s="7"/>
    </row>
    <row r="8" spans="1:7">
      <c r="A8" s="5" t="s">
        <v>5</v>
      </c>
      <c r="B8" s="15"/>
      <c r="C8" s="7"/>
      <c r="D8" s="7"/>
      <c r="E8" s="7"/>
      <c r="F8" s="7"/>
      <c r="G8" s="8"/>
    </row>
    <row r="9" spans="1:7">
      <c r="A9" s="5" t="s">
        <v>2</v>
      </c>
      <c r="B9" s="8"/>
      <c r="C9" s="8"/>
      <c r="D9" s="8"/>
      <c r="E9" s="8"/>
      <c r="F9" s="8"/>
      <c r="G9" s="8"/>
    </row>
    <row r="10" spans="1:7">
      <c r="A10" s="1"/>
      <c r="F10" s="3" t="s">
        <v>33</v>
      </c>
      <c r="G10" s="8">
        <f>SUM(B9:G9)</f>
        <v>0</v>
      </c>
    </row>
    <row r="11" spans="1:7">
      <c r="A11" s="4" t="s">
        <v>6</v>
      </c>
    </row>
    <row r="12" spans="1:7">
      <c r="A12" s="5" t="s">
        <v>4</v>
      </c>
      <c r="B12" s="7" t="s">
        <v>31</v>
      </c>
      <c r="C12" s="7" t="s">
        <v>31</v>
      </c>
      <c r="D12" s="7" t="s">
        <v>34</v>
      </c>
      <c r="E12" s="7" t="s">
        <v>45</v>
      </c>
      <c r="F12" s="7" t="s">
        <v>45</v>
      </c>
      <c r="G12" s="7"/>
    </row>
    <row r="13" spans="1:7">
      <c r="A13" s="5" t="s">
        <v>5</v>
      </c>
      <c r="B13" s="7" t="s">
        <v>32</v>
      </c>
      <c r="C13" s="7" t="s">
        <v>32</v>
      </c>
      <c r="D13" s="17">
        <v>2884</v>
      </c>
      <c r="E13" s="17">
        <v>2897</v>
      </c>
      <c r="F13" s="17">
        <v>2898</v>
      </c>
      <c r="G13" s="7"/>
    </row>
    <row r="14" spans="1:7">
      <c r="A14" s="5" t="s">
        <v>2</v>
      </c>
      <c r="B14" s="8">
        <v>0</v>
      </c>
      <c r="C14" s="8">
        <v>0</v>
      </c>
      <c r="D14" s="8"/>
      <c r="E14" s="8">
        <v>120.81</v>
      </c>
      <c r="F14" s="8">
        <v>49.42</v>
      </c>
      <c r="G14" s="8">
        <v>0</v>
      </c>
    </row>
    <row r="15" spans="1:7">
      <c r="A15" s="1"/>
      <c r="F15" s="3" t="s">
        <v>33</v>
      </c>
      <c r="G15" s="8">
        <f>SUM(B14:G14)</f>
        <v>170.23000000000002</v>
      </c>
    </row>
    <row r="16" spans="1:7">
      <c r="A16" s="2" t="s">
        <v>7</v>
      </c>
    </row>
    <row r="17" spans="1:7">
      <c r="A17" s="5" t="s">
        <v>4</v>
      </c>
      <c r="B17" s="7" t="s">
        <v>34</v>
      </c>
      <c r="C17" s="7" t="s">
        <v>45</v>
      </c>
      <c r="D17" s="7" t="s">
        <v>45</v>
      </c>
      <c r="E17" s="7"/>
      <c r="F17" s="7"/>
      <c r="G17" s="7"/>
    </row>
    <row r="18" spans="1:7">
      <c r="A18" s="5" t="s">
        <v>5</v>
      </c>
      <c r="B18" s="7" t="s">
        <v>32</v>
      </c>
      <c r="C18" s="7">
        <v>2895</v>
      </c>
      <c r="D18" s="7">
        <v>2896</v>
      </c>
      <c r="E18" s="7"/>
      <c r="F18" s="7"/>
      <c r="G18" s="7"/>
    </row>
    <row r="19" spans="1:7">
      <c r="A19" s="5" t="s">
        <v>2</v>
      </c>
      <c r="B19" s="8">
        <v>2222.85</v>
      </c>
      <c r="C19" s="8">
        <v>78.58</v>
      </c>
      <c r="D19" s="8">
        <v>125.73</v>
      </c>
      <c r="E19" s="8"/>
      <c r="F19" s="8"/>
      <c r="G19" s="8"/>
    </row>
    <row r="20" spans="1:7">
      <c r="A20" s="1"/>
      <c r="F20" s="3" t="s">
        <v>33</v>
      </c>
      <c r="G20" s="8">
        <f>SUM(B19:G19)</f>
        <v>2427.16</v>
      </c>
    </row>
    <row r="21" spans="1:7">
      <c r="A21" s="9" t="s">
        <v>8</v>
      </c>
    </row>
    <row r="22" spans="1:7">
      <c r="A22" s="5" t="s">
        <v>4</v>
      </c>
      <c r="B22" s="7"/>
      <c r="C22" s="7"/>
      <c r="D22" s="7"/>
      <c r="E22" s="7"/>
      <c r="F22" s="7"/>
      <c r="G22" s="7"/>
    </row>
    <row r="23" spans="1:7">
      <c r="A23" s="5" t="s">
        <v>5</v>
      </c>
      <c r="B23" s="7"/>
      <c r="C23" s="7"/>
      <c r="D23" s="7"/>
      <c r="E23" s="7"/>
      <c r="F23" s="7"/>
      <c r="G23" s="7"/>
    </row>
    <row r="24" spans="1:7">
      <c r="A24" s="5" t="s">
        <v>2</v>
      </c>
      <c r="B24" s="8"/>
      <c r="C24" s="8">
        <v>0</v>
      </c>
      <c r="D24" s="8">
        <v>0</v>
      </c>
      <c r="E24" s="8"/>
      <c r="F24" s="8"/>
      <c r="G24" s="8">
        <v>0</v>
      </c>
    </row>
    <row r="25" spans="1:7">
      <c r="A25" s="1"/>
      <c r="F25" s="3" t="s">
        <v>33</v>
      </c>
      <c r="G25" s="8">
        <v>0</v>
      </c>
    </row>
    <row r="26" spans="1:7">
      <c r="A26" s="18" t="s">
        <v>35</v>
      </c>
      <c r="B26" s="18"/>
      <c r="C26" s="18"/>
      <c r="D26" s="18"/>
      <c r="E26" s="18"/>
    </row>
    <row r="27" spans="1:7">
      <c r="A27" s="10" t="s">
        <v>5</v>
      </c>
      <c r="B27" s="7" t="s">
        <v>43</v>
      </c>
      <c r="C27" s="7" t="s">
        <v>48</v>
      </c>
      <c r="D27" s="7" t="s">
        <v>38</v>
      </c>
      <c r="E27" s="7" t="s">
        <v>48</v>
      </c>
      <c r="F27" s="7" t="s">
        <v>48</v>
      </c>
      <c r="G27" s="7" t="s">
        <v>48</v>
      </c>
    </row>
    <row r="28" spans="1:7">
      <c r="A28" s="10" t="s">
        <v>0</v>
      </c>
      <c r="B28" s="7" t="s">
        <v>44</v>
      </c>
      <c r="C28" s="7" t="s">
        <v>49</v>
      </c>
      <c r="D28" s="7" t="s">
        <v>42</v>
      </c>
      <c r="E28" s="7" t="s">
        <v>49</v>
      </c>
      <c r="F28" s="7" t="s">
        <v>50</v>
      </c>
      <c r="G28" s="7" t="s">
        <v>50</v>
      </c>
    </row>
    <row r="29" spans="1:7">
      <c r="A29" s="10" t="s">
        <v>2</v>
      </c>
      <c r="B29" s="8">
        <v>5</v>
      </c>
      <c r="C29" s="8">
        <v>32</v>
      </c>
      <c r="D29" s="8">
        <v>47.85</v>
      </c>
      <c r="E29" s="8">
        <v>32</v>
      </c>
      <c r="F29" s="8">
        <v>32</v>
      </c>
      <c r="G29" s="8">
        <v>32</v>
      </c>
    </row>
    <row r="30" spans="1:7">
      <c r="A30" s="1"/>
      <c r="F30" s="3" t="s">
        <v>33</v>
      </c>
      <c r="G30" s="8">
        <f>SUM(B29:G29)</f>
        <v>180.85</v>
      </c>
    </row>
    <row r="31" spans="1:7">
      <c r="A31" s="18" t="s">
        <v>36</v>
      </c>
      <c r="B31" s="18"/>
      <c r="C31" s="18"/>
      <c r="D31" s="18"/>
      <c r="E31" s="18"/>
    </row>
    <row r="32" spans="1:7">
      <c r="A32" s="10" t="s">
        <v>5</v>
      </c>
      <c r="B32" s="7">
        <v>2899</v>
      </c>
      <c r="C32" s="7">
        <v>2901</v>
      </c>
      <c r="D32" s="7">
        <v>2902</v>
      </c>
      <c r="E32" s="7"/>
      <c r="F32" s="7"/>
      <c r="G32" s="7"/>
    </row>
    <row r="33" spans="1:7">
      <c r="A33" s="10" t="s">
        <v>0</v>
      </c>
      <c r="B33" s="7" t="s">
        <v>17</v>
      </c>
      <c r="C33" s="7" t="s">
        <v>51</v>
      </c>
      <c r="D33" s="7" t="s">
        <v>52</v>
      </c>
      <c r="E33" s="7"/>
      <c r="F33" s="7"/>
      <c r="G33" s="7"/>
    </row>
    <row r="34" spans="1:7">
      <c r="A34" s="10" t="s">
        <v>2</v>
      </c>
      <c r="B34" s="8">
        <v>1950</v>
      </c>
      <c r="C34" s="8">
        <v>500</v>
      </c>
      <c r="D34" s="8">
        <v>479.65</v>
      </c>
      <c r="E34" s="8"/>
      <c r="F34" s="8"/>
      <c r="G34" s="8"/>
    </row>
    <row r="35" spans="1:7">
      <c r="A35" s="1"/>
      <c r="E35" s="20" t="s">
        <v>40</v>
      </c>
      <c r="F35" s="21"/>
      <c r="G35" s="8">
        <f>SUM(B34:G34)</f>
        <v>2929.65</v>
      </c>
    </row>
    <row r="36" spans="1:7">
      <c r="A36" s="5" t="s">
        <v>9</v>
      </c>
      <c r="B36" s="11">
        <v>4167</v>
      </c>
      <c r="E36" s="19" t="s">
        <v>22</v>
      </c>
      <c r="F36" s="19"/>
      <c r="G36" s="11">
        <v>1094.98</v>
      </c>
    </row>
    <row r="37" spans="1:7">
      <c r="A37" s="5" t="s">
        <v>10</v>
      </c>
      <c r="B37" s="11">
        <f>SUM(G10+G15+G20+G25+G30)</f>
        <v>2778.24</v>
      </c>
      <c r="E37" s="19" t="s">
        <v>37</v>
      </c>
      <c r="F37" s="19"/>
      <c r="G37" s="11">
        <v>0</v>
      </c>
    </row>
    <row r="38" spans="1:7">
      <c r="A38" s="5" t="s">
        <v>11</v>
      </c>
      <c r="B38" s="11">
        <f>SUM(B36-B37)</f>
        <v>1388.7600000000002</v>
      </c>
      <c r="E38" s="19" t="s">
        <v>23</v>
      </c>
      <c r="F38" s="19"/>
      <c r="G38" s="11">
        <f>SUM(G35-G36-G37)</f>
        <v>1834.67</v>
      </c>
    </row>
    <row r="39" spans="1:7">
      <c r="A39" s="5" t="s">
        <v>12</v>
      </c>
      <c r="B39" s="11">
        <v>1094.98</v>
      </c>
      <c r="E39" s="19"/>
      <c r="F39" s="19"/>
      <c r="G39" s="11"/>
    </row>
    <row r="40" spans="1:7">
      <c r="A40" s="5" t="s">
        <v>41</v>
      </c>
      <c r="B40" s="11">
        <v>0</v>
      </c>
      <c r="E40" s="19" t="s">
        <v>24</v>
      </c>
      <c r="F40" s="19"/>
      <c r="G40" s="11">
        <v>0</v>
      </c>
    </row>
    <row r="41" spans="1:7">
      <c r="A41" s="5" t="s">
        <v>13</v>
      </c>
      <c r="B41" s="11">
        <f>SUM(B38-B39-B40)</f>
        <v>293.7800000000002</v>
      </c>
      <c r="E41" s="19" t="s">
        <v>25</v>
      </c>
      <c r="F41" s="19"/>
      <c r="G41" s="11">
        <v>2000</v>
      </c>
    </row>
    <row r="42" spans="1:7">
      <c r="A42" s="5" t="s">
        <v>39</v>
      </c>
      <c r="B42" s="11">
        <v>7750.97</v>
      </c>
      <c r="E42" s="19" t="s">
        <v>26</v>
      </c>
      <c r="F42" s="19"/>
      <c r="G42" s="11">
        <v>3834.67</v>
      </c>
    </row>
    <row r="43" spans="1:7">
      <c r="A43" s="5" t="s">
        <v>14</v>
      </c>
      <c r="B43" s="11">
        <v>8044.75</v>
      </c>
      <c r="E43" s="19" t="s">
        <v>28</v>
      </c>
      <c r="F43" s="19"/>
      <c r="G43" s="11">
        <v>20568.59</v>
      </c>
    </row>
    <row r="44" spans="1:7">
      <c r="A44" s="1"/>
      <c r="E44" s="19" t="s">
        <v>27</v>
      </c>
      <c r="F44" s="19"/>
      <c r="G44" s="8">
        <v>24403.26</v>
      </c>
    </row>
    <row r="45" spans="1:7">
      <c r="A45" s="1"/>
      <c r="B45" s="12"/>
      <c r="C45" s="13" t="s">
        <v>20</v>
      </c>
      <c r="D45" s="8">
        <v>2000</v>
      </c>
      <c r="E45" s="19" t="s">
        <v>29</v>
      </c>
      <c r="F45" s="19"/>
      <c r="G45" s="8">
        <v>2000</v>
      </c>
    </row>
    <row r="46" spans="1:7">
      <c r="A46" s="1"/>
      <c r="B46" s="12"/>
      <c r="C46" s="14" t="s">
        <v>21</v>
      </c>
      <c r="D46" s="8">
        <v>0</v>
      </c>
      <c r="E46" s="19" t="s">
        <v>30</v>
      </c>
      <c r="F46" s="19"/>
      <c r="G46" s="8">
        <v>2000</v>
      </c>
    </row>
    <row r="47" spans="1:7">
      <c r="A47" s="6" t="s">
        <v>15</v>
      </c>
      <c r="B47" s="8">
        <v>0</v>
      </c>
      <c r="E47" s="19" t="s">
        <v>46</v>
      </c>
      <c r="F47" s="19"/>
      <c r="G47" s="11">
        <v>6096.06</v>
      </c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2014-11-20T16:37:46Z</dcterms:modified>
</cp:coreProperties>
</file>