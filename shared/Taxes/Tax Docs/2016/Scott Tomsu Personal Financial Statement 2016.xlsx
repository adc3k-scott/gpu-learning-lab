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75" windowWidth="8235" windowHeight="5130"/>
  </bookViews>
  <sheets>
    <sheet name="Sheet1" sheetId="1" r:id="rId1"/>
    <sheet name="Sheet2" sheetId="2" r:id="rId2"/>
    <sheet name="Sheet3" sheetId="3" r:id="rId3"/>
  </sheets>
  <calcPr calcId="125725"/>
</workbook>
</file>

<file path=xl/calcChain.xml><?xml version="1.0" encoding="utf-8"?>
<calcChain xmlns="http://schemas.openxmlformats.org/spreadsheetml/2006/main">
  <c r="Y145" i="1"/>
  <c r="Y134"/>
  <c r="S189"/>
  <c r="P204"/>
  <c r="AE60" s="1"/>
  <c r="AA212"/>
  <c r="N212"/>
  <c r="AE177"/>
  <c r="AE54" s="1"/>
  <c r="AA177"/>
  <c r="AE49" s="1"/>
  <c r="S177"/>
  <c r="W177"/>
  <c r="Z165"/>
  <c r="AE51" s="1"/>
  <c r="V165"/>
  <c r="AE47" s="1"/>
  <c r="R165"/>
  <c r="AE46" s="1"/>
  <c r="N165"/>
  <c r="AE45" s="1"/>
  <c r="T156"/>
  <c r="AE52" s="1"/>
  <c r="U145"/>
  <c r="N57" s="1"/>
  <c r="Q145"/>
  <c r="U134"/>
  <c r="N56" s="1"/>
  <c r="AE124"/>
  <c r="N52" s="1"/>
  <c r="W114"/>
  <c r="AE53" s="1"/>
  <c r="T114"/>
  <c r="N51" s="1"/>
  <c r="X104"/>
  <c r="N54" s="1"/>
  <c r="S104"/>
  <c r="N53" s="1"/>
  <c r="O104"/>
  <c r="N48" s="1"/>
  <c r="Z95"/>
  <c r="N55" s="1"/>
  <c r="V95"/>
  <c r="N47" s="1"/>
  <c r="R95"/>
  <c r="N46" s="1"/>
  <c r="R82"/>
  <c r="AE50" s="1"/>
  <c r="M82"/>
  <c r="N45" s="1"/>
  <c r="AD71"/>
  <c r="AE30"/>
  <c r="S28"/>
  <c r="N28"/>
  <c r="X14"/>
  <c r="X13"/>
  <c r="X12"/>
  <c r="AE55" l="1"/>
  <c r="AE56" s="1"/>
  <c r="N50"/>
  <c r="N58" s="1"/>
  <c r="AE48"/>
  <c r="AE57" l="1"/>
  <c r="AE58" s="1"/>
</calcChain>
</file>

<file path=xl/sharedStrings.xml><?xml version="1.0" encoding="utf-8"?>
<sst xmlns="http://schemas.openxmlformats.org/spreadsheetml/2006/main" count="399" uniqueCount="259">
  <si>
    <t>To:</t>
  </si>
  <si>
    <t>PERSONAL FINANCIAL STATEMENT OF</t>
  </si>
  <si>
    <t>Statement Date:</t>
  </si>
  <si>
    <t>(Complete this section only if this is a Joint Statement)</t>
  </si>
  <si>
    <t>Name</t>
  </si>
  <si>
    <t>Relationship</t>
  </si>
  <si>
    <t>Address</t>
  </si>
  <si>
    <t>City State, Zip</t>
  </si>
  <si>
    <t>Home Phone</t>
  </si>
  <si>
    <t>Social Security #</t>
  </si>
  <si>
    <t>Date of Birth</t>
  </si>
  <si>
    <t>Bus or Occupation</t>
  </si>
  <si>
    <t>Business Phone</t>
  </si>
  <si>
    <t>ANNUAL INCOME</t>
  </si>
  <si>
    <t>ESTIMATE OF ANNUAL EXPENSES</t>
  </si>
  <si>
    <t>(Provide Joint Applicant Information Only if this is a Joint Statement)</t>
  </si>
  <si>
    <t>Primary Applicant</t>
  </si>
  <si>
    <t>Joint Applicant</t>
  </si>
  <si>
    <t>Income Taxes</t>
  </si>
  <si>
    <t>$</t>
  </si>
  <si>
    <t>Salary, Bonuses &amp; Commissions</t>
  </si>
  <si>
    <t>Other Taxes</t>
  </si>
  <si>
    <t>Dividends &amp; Interest</t>
  </si>
  <si>
    <t>Insurance Premiums</t>
  </si>
  <si>
    <t>Rental &amp; Lease Income (Net)</t>
  </si>
  <si>
    <t>Mortgage Payments</t>
  </si>
  <si>
    <t>Other Income - Itemize</t>
  </si>
  <si>
    <t>Rent Payable</t>
  </si>
  <si>
    <t>TOTAL</t>
  </si>
  <si>
    <t>Other Income:    Alimony, child support, or separate maintenance income need not be revealed if you</t>
  </si>
  <si>
    <t>do not wish to have it considered as a basis for repaying this obligation.</t>
  </si>
  <si>
    <t>GENERAL INFORMATION</t>
  </si>
  <si>
    <t>Are any Assets Pledges?</t>
  </si>
  <si>
    <t>No</t>
  </si>
  <si>
    <t>Are you a Defendant in any Suits or Legal Actions?</t>
  </si>
  <si>
    <t>Have you ever been declared Bankrupt in the last 7 years?</t>
  </si>
  <si>
    <t>SECTION I</t>
  </si>
  <si>
    <t>ASSETS</t>
  </si>
  <si>
    <t>LIABILITIES</t>
  </si>
  <si>
    <t>Cash on Hand &amp; In Banks</t>
  </si>
  <si>
    <t>Cash Value of Life Insurance</t>
  </si>
  <si>
    <t>US Gov. Securities</t>
  </si>
  <si>
    <t>Other Marketable Securities</t>
  </si>
  <si>
    <t>Notes &amp; Accounts Receivable - Good</t>
  </si>
  <si>
    <t>Other Assets Readily Convertible to Cash</t>
  </si>
  <si>
    <t>TOTAL CURRENT ASSETS</t>
  </si>
  <si>
    <t>Real Estate Owned</t>
  </si>
  <si>
    <t>Mortgage &amp; Contracts Owned</t>
  </si>
  <si>
    <t>Notes &amp; Accounts Receivable - Doubtful</t>
  </si>
  <si>
    <t>Notes Due from Relative &amp; Friends</t>
  </si>
  <si>
    <t>Other Securities Not Readily Marketable</t>
  </si>
  <si>
    <t>Personal Property</t>
  </si>
  <si>
    <t>Other Assets</t>
  </si>
  <si>
    <t>TOTAL ASSETS</t>
  </si>
  <si>
    <t>Sec II - A</t>
  </si>
  <si>
    <t>Notes Due to Banks</t>
  </si>
  <si>
    <t>Notes Due to Relatives &amp; Friends</t>
  </si>
  <si>
    <t>Notes Due to Others</t>
  </si>
  <si>
    <t>Accounts &amp; Bills Payable</t>
  </si>
  <si>
    <t>Unpaid Income Taxes Due</t>
  </si>
  <si>
    <t>Other Unpaid Taxes &amp; Interest</t>
  </si>
  <si>
    <t>Loans on Life Insurance Policies</t>
  </si>
  <si>
    <t>Contract Accounts Payable</t>
  </si>
  <si>
    <t>TOTAL CURRENT LIABILITIES</t>
  </si>
  <si>
    <t>Real Estate Mortgage Payable</t>
  </si>
  <si>
    <t>Liens &amp; Assessments Payable</t>
  </si>
  <si>
    <t>TOTAL LIABILITIES</t>
  </si>
  <si>
    <t>TOTAL LIABILITIES &amp; NET WORTH</t>
  </si>
  <si>
    <t>Net Worth (Total Assets minus Total Liabilities)</t>
  </si>
  <si>
    <t>SECTION II</t>
  </si>
  <si>
    <t>NAME OF BANK</t>
  </si>
  <si>
    <t>Type of Account</t>
  </si>
  <si>
    <t>Type of Ownership</t>
  </si>
  <si>
    <t>On Deposit</t>
  </si>
  <si>
    <t>Cash on Hand</t>
  </si>
  <si>
    <t>TOTALS</t>
  </si>
  <si>
    <t>(Enter Sec I, Line 1)</t>
  </si>
  <si>
    <r>
      <t xml:space="preserve">A. </t>
    </r>
    <r>
      <rPr>
        <sz val="10"/>
        <rFont val="Arial"/>
        <family val="2"/>
      </rPr>
      <t xml:space="preserve"> </t>
    </r>
    <r>
      <rPr>
        <b/>
        <sz val="10"/>
        <rFont val="Arial"/>
        <family val="2"/>
      </rPr>
      <t>CASH ON HAND &amp; IN BANKS</t>
    </r>
  </si>
  <si>
    <t>Address, City, State, Zip</t>
  </si>
  <si>
    <r>
      <t>B.  LIFE INSURANCE</t>
    </r>
    <r>
      <rPr>
        <sz val="10"/>
        <rFont val="Arial"/>
        <family val="2"/>
      </rPr>
      <t xml:space="preserve"> (List only those Policies that you own)</t>
    </r>
  </si>
  <si>
    <t>COMPANY</t>
  </si>
  <si>
    <t>Face of Policy</t>
  </si>
  <si>
    <t>Cash Surrender Value</t>
  </si>
  <si>
    <t>Policy Loan from Insurance Co.</t>
  </si>
  <si>
    <t>Other Loans Policy as Collateral</t>
  </si>
  <si>
    <t>BENEFICIARY</t>
  </si>
  <si>
    <t>(Enter Sec I, Line 2)</t>
  </si>
  <si>
    <t>Sec II - B</t>
  </si>
  <si>
    <t>(Enter Sec I, Line 22)</t>
  </si>
  <si>
    <r>
      <t>C.  SECURITIES OWNED</t>
    </r>
    <r>
      <rPr>
        <sz val="10"/>
        <rFont val="Arial"/>
        <family val="2"/>
      </rPr>
      <t xml:space="preserve"> (Including U.S. Gov't Bonds and all other Stocks and Bonds)</t>
    </r>
  </si>
  <si>
    <t>No of Shares</t>
  </si>
  <si>
    <t>Name of Security - Indicate those NOT REGISTER in Your Name</t>
  </si>
  <si>
    <t>Cost</t>
  </si>
  <si>
    <t>Market Value US Gov Sec</t>
  </si>
  <si>
    <t>Market Value M'ktable Sec.</t>
  </si>
  <si>
    <t>Market Value Not Readably Marketable Sec.</t>
  </si>
  <si>
    <t>Amount Pledged to Secure Loans</t>
  </si>
  <si>
    <t>(Enter Sec I, Line 3)</t>
  </si>
  <si>
    <t>(Enter Sec I, Line 4)</t>
  </si>
  <si>
    <t>Sec II - C</t>
  </si>
  <si>
    <t>(Enter Sec I, Line 12)</t>
  </si>
  <si>
    <r>
      <t>D.  NOTES AND ACCOUNTS RECEIVABLE</t>
    </r>
    <r>
      <rPr>
        <sz val="7"/>
        <rFont val="Arial"/>
        <family val="2"/>
      </rPr>
      <t xml:space="preserve"> (Money Payable or Owed to You Individually - Indicate by "X" if Others have an Ownership Interest)</t>
    </r>
  </si>
  <si>
    <t>MAKER/DEBTOR</t>
  </si>
  <si>
    <t>X</t>
  </si>
  <si>
    <t>When Due</t>
  </si>
  <si>
    <t>Original Am't</t>
  </si>
  <si>
    <t>Balance Due Good Accounts</t>
  </si>
  <si>
    <t>Balance Due Doubtful Accts</t>
  </si>
  <si>
    <t>Balance Due Relatives &amp; Friends</t>
  </si>
  <si>
    <t>SECURITY (If Any)</t>
  </si>
  <si>
    <t>(Enter Sec I, Line 5)</t>
  </si>
  <si>
    <t>Sec II - D</t>
  </si>
  <si>
    <t>(Enter Sec I, Line 10)</t>
  </si>
  <si>
    <t>(Enter Sec I, Line 11)</t>
  </si>
  <si>
    <t>Date</t>
  </si>
  <si>
    <t>Original</t>
  </si>
  <si>
    <t>Present Value</t>
  </si>
  <si>
    <t>MORTGAGE OR CONTRACT PAYABLE</t>
  </si>
  <si>
    <t>TITLE IN NAME OF</t>
  </si>
  <si>
    <t>Description &amp; Location</t>
  </si>
  <si>
    <t>Acquired</t>
  </si>
  <si>
    <t>of Real Estate</t>
  </si>
  <si>
    <t>Bal Due</t>
  </si>
  <si>
    <t>Payment</t>
  </si>
  <si>
    <t>To Whom Payable</t>
  </si>
  <si>
    <t>(Sec I, Line 8)</t>
  </si>
  <si>
    <t>Sec II - E</t>
  </si>
  <si>
    <r>
      <t>F.  MORTGAGES AND CONTRACTS OWNED</t>
    </r>
    <r>
      <rPr>
        <sz val="10"/>
        <rFont val="Arial"/>
        <family val="2"/>
      </rPr>
      <t xml:space="preserve"> (Indicate by a "X" if Others have an Ownership Interest)</t>
    </r>
  </si>
  <si>
    <t>MAKER</t>
  </si>
  <si>
    <t>Starting</t>
  </si>
  <si>
    <t>Cont.</t>
  </si>
  <si>
    <t>Mtge.</t>
  </si>
  <si>
    <t>Property Covered</t>
  </si>
  <si>
    <t>Maturity</t>
  </si>
  <si>
    <t>Balance Due</t>
  </si>
  <si>
    <t>Sec II - F</t>
  </si>
  <si>
    <t>(Enter Sec I, Line 9)</t>
  </si>
  <si>
    <t>(Enter Sec I, Line 13)</t>
  </si>
  <si>
    <t>Sec II - G</t>
  </si>
  <si>
    <t>Value</t>
  </si>
  <si>
    <t>LOANS ON PROPERTY</t>
  </si>
  <si>
    <t>DESCRIPTION</t>
  </si>
  <si>
    <t>When New</t>
  </si>
  <si>
    <t>Today</t>
  </si>
  <si>
    <t>(Enter Sec I, Line 16)</t>
  </si>
  <si>
    <r>
      <t>G.  PERSONAL PROPERTY</t>
    </r>
    <r>
      <rPr>
        <sz val="10"/>
        <rFont val="Arial"/>
        <family val="2"/>
      </rPr>
      <t xml:space="preserve"> (Indicate by a "X" if Others have an Ownership Interest)</t>
    </r>
  </si>
  <si>
    <t>Value of Other Assets</t>
  </si>
  <si>
    <t>Other</t>
  </si>
  <si>
    <t>Assets</t>
  </si>
  <si>
    <t>Readily Convertible</t>
  </si>
  <si>
    <t>to Cash</t>
  </si>
  <si>
    <t>LOANS ON OTHER ASSETS</t>
  </si>
  <si>
    <t>(Enter Sec I, Line 6)</t>
  </si>
  <si>
    <t>(Enter Sec I, Line 14)</t>
  </si>
  <si>
    <t>LENDER</t>
  </si>
  <si>
    <t>Loan</t>
  </si>
  <si>
    <t>Rate</t>
  </si>
  <si>
    <t>In Name Of</t>
  </si>
  <si>
    <t>Current</t>
  </si>
  <si>
    <t>Balance</t>
  </si>
  <si>
    <t>Monthly</t>
  </si>
  <si>
    <t>Collateral</t>
  </si>
  <si>
    <t>Collateral (If Any)</t>
  </si>
  <si>
    <t>Other Obligors</t>
  </si>
  <si>
    <t>Notes Due to</t>
  </si>
  <si>
    <t>Notes Due Others</t>
  </si>
  <si>
    <t>Accounts &amp; Bills</t>
  </si>
  <si>
    <t>Contracts</t>
  </si>
  <si>
    <t>COLLATERAL</t>
  </si>
  <si>
    <t>PAYABLE TO</t>
  </si>
  <si>
    <t>(If Any)</t>
  </si>
  <si>
    <t>Rel. &amp; Friends</t>
  </si>
  <si>
    <t>(Not Banks)</t>
  </si>
  <si>
    <t>Payable</t>
  </si>
  <si>
    <t>(Enter Sec I, Line 23)</t>
  </si>
  <si>
    <r>
      <t xml:space="preserve">H.  OTHER ASSETS </t>
    </r>
    <r>
      <rPr>
        <sz val="10"/>
        <rFont val="Arial"/>
        <family val="2"/>
      </rPr>
      <t>(Indicate by a "X" if Others have an Ownership Interest)</t>
    </r>
  </si>
  <si>
    <r>
      <t xml:space="preserve">I.  Notes Due to Banks  </t>
    </r>
    <r>
      <rPr>
        <sz val="10"/>
        <rFont val="Arial"/>
        <family val="2"/>
      </rPr>
      <t>(List all Real Estate Loans in Section II - E)</t>
    </r>
  </si>
  <si>
    <t>Sec II - H</t>
  </si>
  <si>
    <t>Sec II -  I</t>
  </si>
  <si>
    <r>
      <t>J.  NOTES</t>
    </r>
    <r>
      <rPr>
        <sz val="9"/>
        <rFont val="Arial"/>
        <family val="2"/>
      </rPr>
      <t xml:space="preserve"> (Other then Bank, Mortgage and Insurance Company Loans) </t>
    </r>
    <r>
      <rPr>
        <b/>
        <sz val="9"/>
        <rFont val="Arial"/>
        <family val="2"/>
      </rPr>
      <t xml:space="preserve"> ACCOUNTS AND BILLS AND CONTRACTS PAYABLE</t>
    </r>
  </si>
  <si>
    <t>Sec II - J</t>
  </si>
  <si>
    <t>(Enter Sec I, Line 17)</t>
  </si>
  <si>
    <t>(Enter Sec I, Line 18)</t>
  </si>
  <si>
    <t>(Enter Sec I, Line 19)</t>
  </si>
  <si>
    <t>(Enter Sec I, Line 20)</t>
  </si>
  <si>
    <t>K.  UNPAID TAXES &amp; INTEREST AND LIENS &amp; ASSESSMENTS PAYABLE</t>
  </si>
  <si>
    <t>State Income</t>
  </si>
  <si>
    <t>Tax Due</t>
  </si>
  <si>
    <t>Federal Income</t>
  </si>
  <si>
    <t>Other Unpaid</t>
  </si>
  <si>
    <t>Taxes &amp; Int.</t>
  </si>
  <si>
    <t>Liens &amp; Asses-</t>
  </si>
  <si>
    <t>ments Payable</t>
  </si>
  <si>
    <t>Sec II - K</t>
  </si>
  <si>
    <t>(Enter Sec I, Line 21)</t>
  </si>
  <si>
    <t>(Enter Sec I, Line 27)</t>
  </si>
  <si>
    <t>(Sec I, Line 25)</t>
  </si>
  <si>
    <t>(Enter Sec I, Line 26)</t>
  </si>
  <si>
    <t>Other Debts</t>
  </si>
  <si>
    <r>
      <t>L.  OTHER DEBTS</t>
    </r>
    <r>
      <rPr>
        <sz val="10"/>
        <rFont val="Arial"/>
        <family val="2"/>
      </rPr>
      <t xml:space="preserve">  (All other Debts not already identified)</t>
    </r>
  </si>
  <si>
    <t>DESCRIPTION OF OTHER DEBT</t>
  </si>
  <si>
    <t>Sec II - M</t>
  </si>
  <si>
    <t>CONTINGENT LIABILITIES</t>
  </si>
  <si>
    <t>(Enter Sec I, Line 31)</t>
  </si>
  <si>
    <t>Explanation:</t>
  </si>
  <si>
    <r>
      <t>Yes</t>
    </r>
    <r>
      <rPr>
        <sz val="6"/>
        <rFont val="Arial"/>
        <family val="2"/>
      </rPr>
      <t xml:space="preserve"> (Explain)</t>
    </r>
  </si>
  <si>
    <r>
      <t xml:space="preserve">Yes </t>
    </r>
    <r>
      <rPr>
        <sz val="6"/>
        <rFont val="Arial"/>
        <family val="2"/>
      </rPr>
      <t>(Explain)</t>
    </r>
  </si>
  <si>
    <t>For the purpose of procuring credit from time to time, I/We furnish the foregoing as a true and accurate statement of my/our financial condition.  Authorization is hereby given to the Lender to verify in a manner it deems appropriate any and all items indicated on this statement.  The undersigned also agrees to notify the Lender immediately in writing of any significant adverse change in such financial condition.</t>
  </si>
  <si>
    <t>Date Signed</t>
  </si>
  <si>
    <t>Signature</t>
  </si>
  <si>
    <r>
      <t>M.  CONTINGENT LIABILITIES</t>
    </r>
    <r>
      <rPr>
        <sz val="10"/>
        <rFont val="Arial"/>
        <family val="2"/>
      </rPr>
      <t xml:space="preserve"> </t>
    </r>
    <r>
      <rPr>
        <sz val="8"/>
        <rFont val="Arial"/>
        <family val="2"/>
      </rPr>
      <t xml:space="preserve"> (As Guarantor, Endorser or Guarantor; on Leases or Contracts, Legal Claims, Federal or State Income Tax)</t>
    </r>
  </si>
  <si>
    <t>Name of Bank</t>
  </si>
  <si>
    <t>or Creditor</t>
  </si>
  <si>
    <t>Debt Listed in Name Of</t>
  </si>
  <si>
    <t>Maximum Com-</t>
  </si>
  <si>
    <t>mitment Amount</t>
  </si>
  <si>
    <r>
      <t xml:space="preserve">Yes </t>
    </r>
    <r>
      <rPr>
        <sz val="6"/>
        <rFont val="Arial"/>
        <family val="2"/>
      </rPr>
      <t>(See Sec II)</t>
    </r>
  </si>
  <si>
    <t>NOTE:  Any willful misrepresentation could result in a violation of Federal Law (Sec. 18 U.S.C. 1014)</t>
  </si>
  <si>
    <t>NOTE:  Complete all of Section II (Beginning on Page 2) BEFORE Section I</t>
  </si>
  <si>
    <t>FM Bank</t>
  </si>
  <si>
    <t>100 S Main Street</t>
  </si>
  <si>
    <t>Breaux Bridge, LA 70517</t>
  </si>
  <si>
    <t>Office (337) 332 - 2115</t>
  </si>
  <si>
    <t>Fax (337) 332 - 8446</t>
  </si>
  <si>
    <t>Sec II - G+H+L</t>
  </si>
  <si>
    <t>.</t>
  </si>
  <si>
    <t>x</t>
  </si>
  <si>
    <t>Sole</t>
  </si>
  <si>
    <t>Checking</t>
  </si>
  <si>
    <t>2002</t>
  </si>
  <si>
    <t>Scott Tomsu</t>
  </si>
  <si>
    <t>105 Trinidad Circle</t>
  </si>
  <si>
    <t>Lafayette, LA 70507</t>
  </si>
  <si>
    <t>ROV Contractor / Adapt High Performance</t>
  </si>
  <si>
    <t>508-13-6712</t>
  </si>
  <si>
    <t>72' Mustang Mach 1</t>
  </si>
  <si>
    <t>05' Chevy Silverado 2500 HD</t>
  </si>
  <si>
    <t>02' Harley Davidson Softail Duece</t>
  </si>
  <si>
    <t>91' Glastron Ski Boat</t>
  </si>
  <si>
    <t>81' Harley Davidson FXS lowrider</t>
  </si>
  <si>
    <t xml:space="preserve">83' Harley Davidson FXR </t>
  </si>
  <si>
    <t>Adapt High Performance Tools / Equipment</t>
  </si>
  <si>
    <t>DynoJet 250i Motorcycle Dyno w/ Trailer</t>
  </si>
  <si>
    <t>Centennial Leasing</t>
  </si>
  <si>
    <t xml:space="preserve">Home Bank (Scott Tomsu) </t>
  </si>
  <si>
    <t xml:space="preserve">Home Bank (Adapt) </t>
  </si>
  <si>
    <t>FM Bank (Advantage Design)</t>
  </si>
  <si>
    <t>FM Bank (Adapt)</t>
  </si>
  <si>
    <t>Business</t>
  </si>
  <si>
    <t>Cash</t>
  </si>
  <si>
    <t>1417-19 N. Johnston Street</t>
  </si>
  <si>
    <t xml:space="preserve">Advantage Design </t>
  </si>
  <si>
    <t>ECD / Hope</t>
  </si>
  <si>
    <t>103,105,107,109 Trinidad Cir</t>
  </si>
  <si>
    <t>1201 SE Evangeline Thruway</t>
  </si>
  <si>
    <t>W/ Lakeveiw Lots X 7</t>
  </si>
  <si>
    <t>Home Insurance</t>
  </si>
  <si>
    <t>Trindad Rent</t>
  </si>
  <si>
    <t>1417/19 N Johnson Rent</t>
  </si>
</sst>
</file>

<file path=xl/styles.xml><?xml version="1.0" encoding="utf-8"?>
<styleSheet xmlns="http://schemas.openxmlformats.org/spreadsheetml/2006/main">
  <numFmts count="10">
    <numFmt numFmtId="44" formatCode="_(&quot;$&quot;* #,##0.00_);_(&quot;$&quot;* \(#,##0.00\);_(&quot;$&quot;* &quot;-&quot;??_);_(@_)"/>
    <numFmt numFmtId="43" formatCode="_(* #,##0.00_);_(* \(#,##0.00\);_(* &quot;-&quot;??_);_(@_)"/>
    <numFmt numFmtId="164" formatCode="[$-409]mmmm\ d\,\ yyyy;@"/>
    <numFmt numFmtId="165" formatCode="\(###\)\ ###\ \-\ ####"/>
    <numFmt numFmtId="166" formatCode="###\-##\-####"/>
    <numFmt numFmtId="167" formatCode="m/d/yyyy;@"/>
    <numFmt numFmtId="168" formatCode="_(* #,##0_);_(* \(#,##0\);_(* &quot;-&quot;??_);_(@_)"/>
    <numFmt numFmtId="169" formatCode="_(&quot;$&quot;* #,##0_);_(&quot;$&quot;* \(#,##0\);_(&quot;$&quot;* &quot;-&quot;??_);_(@_)"/>
    <numFmt numFmtId="170" formatCode="mm/dd/yy;@"/>
    <numFmt numFmtId="175" formatCode="&quot;$&quot;#,##0.00"/>
  </numFmts>
  <fonts count="17">
    <font>
      <sz val="10"/>
      <name val="Arial"/>
    </font>
    <font>
      <sz val="10"/>
      <name val="Arial"/>
      <family val="2"/>
    </font>
    <font>
      <sz val="8"/>
      <name val="Arial"/>
      <family val="2"/>
    </font>
    <font>
      <b/>
      <sz val="10"/>
      <name val="Arial"/>
      <family val="2"/>
    </font>
    <font>
      <b/>
      <sz val="8"/>
      <name val="Arial"/>
      <family val="2"/>
    </font>
    <font>
      <sz val="8"/>
      <name val="Arial"/>
      <family val="2"/>
    </font>
    <font>
      <sz val="10"/>
      <color indexed="10"/>
      <name val="Arial"/>
      <family val="2"/>
    </font>
    <font>
      <sz val="7"/>
      <name val="Arial"/>
      <family val="2"/>
    </font>
    <font>
      <b/>
      <sz val="6"/>
      <name val="Arial"/>
      <family val="2"/>
    </font>
    <font>
      <sz val="6"/>
      <name val="Arial"/>
      <family val="2"/>
    </font>
    <font>
      <sz val="7"/>
      <name val="Arial"/>
      <family val="2"/>
    </font>
    <font>
      <b/>
      <sz val="9"/>
      <name val="Arial"/>
      <family val="2"/>
    </font>
    <font>
      <sz val="9"/>
      <name val="Arial"/>
      <family val="2"/>
    </font>
    <font>
      <sz val="10"/>
      <color indexed="22"/>
      <name val="Arial"/>
      <family val="2"/>
    </font>
    <font>
      <sz val="8"/>
      <color indexed="22"/>
      <name val="Arial"/>
      <family val="2"/>
    </font>
    <font>
      <b/>
      <sz val="8"/>
      <color indexed="22"/>
      <name val="Arial"/>
      <family val="2"/>
    </font>
    <font>
      <b/>
      <sz val="14"/>
      <name val="Arial"/>
      <family val="2"/>
    </font>
  </fonts>
  <fills count="3">
    <fill>
      <patternFill patternType="none"/>
    </fill>
    <fill>
      <patternFill patternType="gray125"/>
    </fill>
    <fill>
      <patternFill patternType="solid">
        <fgColor indexed="22"/>
        <bgColor indexed="64"/>
      </patternFill>
    </fill>
  </fills>
  <borders count="30">
    <border>
      <left/>
      <right/>
      <top/>
      <bottom/>
      <diagonal/>
    </border>
    <border>
      <left style="medium">
        <color indexed="64"/>
      </left>
      <right/>
      <top/>
      <bottom style="thin">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style="thin">
        <color indexed="64"/>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59">
    <xf numFmtId="0" fontId="0" fillId="0" borderId="0" xfId="0"/>
    <xf numFmtId="0" fontId="3" fillId="0" borderId="0" xfId="0" applyFont="1"/>
    <xf numFmtId="0" fontId="2" fillId="0" borderId="0" xfId="0" applyFont="1"/>
    <xf numFmtId="0" fontId="2" fillId="0" borderId="0" xfId="0" applyFont="1" applyAlignment="1">
      <alignment horizontal="right"/>
    </xf>
    <xf numFmtId="0" fontId="2" fillId="0" borderId="0" xfId="0" applyFont="1" applyBorder="1" applyAlignment="1">
      <alignment horizontal="right"/>
    </xf>
    <xf numFmtId="165" fontId="0" fillId="0" borderId="0" xfId="0" applyNumberFormat="1" applyBorder="1" applyAlignment="1">
      <alignment horizontal="left"/>
    </xf>
    <xf numFmtId="0" fontId="0" fillId="0" borderId="1" xfId="0" applyBorder="1"/>
    <xf numFmtId="0" fontId="0" fillId="0" borderId="2" xfId="0" applyBorder="1"/>
    <xf numFmtId="0" fontId="0" fillId="0" borderId="0" xfId="0" applyBorder="1"/>
    <xf numFmtId="0" fontId="0" fillId="0" borderId="3" xfId="0" applyBorder="1"/>
    <xf numFmtId="0" fontId="0" fillId="0" borderId="4" xfId="0" applyBorder="1"/>
    <xf numFmtId="0" fontId="2" fillId="0" borderId="2" xfId="0" applyFont="1" applyBorder="1" applyAlignment="1">
      <alignment horizontal="center"/>
    </xf>
    <xf numFmtId="0" fontId="2" fillId="0" borderId="0" xfId="0" applyFont="1" applyBorder="1" applyAlignment="1">
      <alignment horizontal="center"/>
    </xf>
    <xf numFmtId="0" fontId="2" fillId="0" borderId="5" xfId="0" applyFont="1" applyBorder="1"/>
    <xf numFmtId="0" fontId="2" fillId="0" borderId="6" xfId="0" applyFont="1" applyBorder="1" applyAlignment="1">
      <alignment horizontal="right"/>
    </xf>
    <xf numFmtId="0" fontId="2" fillId="0" borderId="0" xfId="0" applyFont="1" applyBorder="1"/>
    <xf numFmtId="0" fontId="2" fillId="0" borderId="7" xfId="0" applyFont="1" applyBorder="1" applyAlignment="1">
      <alignment horizontal="right"/>
    </xf>
    <xf numFmtId="0" fontId="2" fillId="0" borderId="8" xfId="0" applyFont="1" applyBorder="1" applyAlignment="1">
      <alignment horizontal="right"/>
    </xf>
    <xf numFmtId="0" fontId="2" fillId="0" borderId="7" xfId="0" applyFont="1" applyFill="1" applyBorder="1" applyAlignment="1">
      <alignment horizontal="right"/>
    </xf>
    <xf numFmtId="0" fontId="2" fillId="0" borderId="9" xfId="0" applyFont="1" applyBorder="1" applyAlignment="1">
      <alignment horizontal="right"/>
    </xf>
    <xf numFmtId="0" fontId="2" fillId="0" borderId="10" xfId="0" applyFont="1" applyBorder="1"/>
    <xf numFmtId="0" fontId="2" fillId="0" borderId="0" xfId="0" applyFont="1" applyBorder="1" applyAlignment="1">
      <alignment vertical="center"/>
    </xf>
    <xf numFmtId="0" fontId="2" fillId="0" borderId="11" xfId="0" applyFont="1" applyBorder="1"/>
    <xf numFmtId="0" fontId="2" fillId="0" borderId="0" xfId="0" applyFont="1" applyBorder="1" applyAlignment="1"/>
    <xf numFmtId="0" fontId="4" fillId="0" borderId="9" xfId="0" applyFont="1" applyBorder="1" applyAlignment="1">
      <alignment horizontal="left" indent="2"/>
    </xf>
    <xf numFmtId="0" fontId="4" fillId="0" borderId="12" xfId="0" applyFont="1" applyBorder="1" applyAlignment="1">
      <alignment horizontal="left" indent="2"/>
    </xf>
    <xf numFmtId="0" fontId="2" fillId="0" borderId="6" xfId="0" applyFont="1" applyBorder="1" applyAlignment="1">
      <alignment horizontal="center" vertical="center"/>
    </xf>
    <xf numFmtId="0" fontId="2" fillId="0" borderId="2" xfId="0" applyFont="1" applyBorder="1" applyAlignment="1">
      <alignment horizontal="center" vertical="center"/>
    </xf>
    <xf numFmtId="0" fontId="2" fillId="0" borderId="13" xfId="0" applyFont="1" applyBorder="1" applyAlignment="1">
      <alignment horizontal="center" vertical="center"/>
    </xf>
    <xf numFmtId="0" fontId="2" fillId="0" borderId="7" xfId="0" applyFont="1" applyBorder="1"/>
    <xf numFmtId="0" fontId="4" fillId="0" borderId="7" xfId="0" applyFont="1" applyBorder="1" applyAlignment="1">
      <alignment horizontal="right"/>
    </xf>
    <xf numFmtId="0" fontId="4" fillId="0" borderId="2" xfId="0" applyFont="1" applyBorder="1" applyAlignment="1">
      <alignment horizontal="right"/>
    </xf>
    <xf numFmtId="0" fontId="2" fillId="0" borderId="14" xfId="0" applyFont="1" applyBorder="1" applyAlignment="1">
      <alignment horizontal="center"/>
    </xf>
    <xf numFmtId="0" fontId="0" fillId="0" borderId="14" xfId="0" applyBorder="1" applyAlignment="1">
      <alignment horizontal="center"/>
    </xf>
    <xf numFmtId="169" fontId="2" fillId="0" borderId="0" xfId="2" applyNumberFormat="1" applyFont="1" applyFill="1" applyBorder="1" applyAlignment="1"/>
    <xf numFmtId="169" fontId="0" fillId="0" borderId="0" xfId="2" applyNumberFormat="1" applyFont="1" applyBorder="1" applyAlignment="1"/>
    <xf numFmtId="0" fontId="9" fillId="0" borderId="0" xfId="0" applyFont="1" applyBorder="1" applyAlignment="1"/>
    <xf numFmtId="0" fontId="0" fillId="0" borderId="15" xfId="0" applyBorder="1"/>
    <xf numFmtId="0" fontId="2" fillId="0" borderId="16" xfId="0" applyFont="1" applyBorder="1" applyAlignment="1">
      <alignment horizontal="center"/>
    </xf>
    <xf numFmtId="0" fontId="0" fillId="0" borderId="8" xfId="0" applyBorder="1"/>
    <xf numFmtId="0" fontId="0" fillId="0" borderId="11" xfId="0" applyBorder="1"/>
    <xf numFmtId="0" fontId="0" fillId="0" borderId="10" xfId="0" applyBorder="1"/>
    <xf numFmtId="0" fontId="1" fillId="0" borderId="0" xfId="0" applyFont="1"/>
    <xf numFmtId="169" fontId="2" fillId="0" borderId="10" xfId="2" applyNumberFormat="1" applyFont="1" applyBorder="1" applyAlignment="1"/>
    <xf numFmtId="0" fontId="2" fillId="0" borderId="10" xfId="0" applyFont="1" applyBorder="1" applyAlignment="1"/>
    <xf numFmtId="0" fontId="2" fillId="0" borderId="0" xfId="0" applyFont="1" applyAlignment="1"/>
    <xf numFmtId="0" fontId="2" fillId="0" borderId="8" xfId="0" applyFont="1" applyBorder="1"/>
    <xf numFmtId="0" fontId="11" fillId="0" borderId="0" xfId="0" applyFont="1"/>
    <xf numFmtId="0" fontId="2" fillId="0" borderId="8" xfId="0" applyFont="1" applyBorder="1" applyAlignment="1"/>
    <xf numFmtId="0" fontId="2" fillId="0" borderId="17" xfId="0" applyFont="1" applyFill="1" applyBorder="1"/>
    <xf numFmtId="0" fontId="2" fillId="0" borderId="0" xfId="0" applyFont="1" applyFill="1" applyBorder="1" applyAlignment="1">
      <alignment horizontal="right"/>
    </xf>
    <xf numFmtId="170" fontId="2" fillId="0" borderId="10" xfId="0" applyNumberFormat="1" applyFont="1" applyBorder="1" applyAlignment="1"/>
    <xf numFmtId="0" fontId="2" fillId="0" borderId="3" xfId="0" applyFont="1" applyBorder="1" applyAlignment="1">
      <alignment vertical="center"/>
    </xf>
    <xf numFmtId="0" fontId="2" fillId="0" borderId="0" xfId="0" applyFont="1" applyBorder="1" applyAlignment="1">
      <alignment horizontal="center" vertical="center"/>
    </xf>
    <xf numFmtId="0" fontId="7" fillId="0" borderId="0" xfId="0" applyFont="1" applyBorder="1" applyAlignment="1">
      <alignment vertical="center"/>
    </xf>
    <xf numFmtId="0" fontId="2" fillId="0" borderId="0" xfId="0" applyFont="1" applyBorder="1" applyAlignment="1">
      <alignment horizontal="right" vertical="center"/>
    </xf>
    <xf numFmtId="0" fontId="4" fillId="0" borderId="0" xfId="0" applyFont="1" applyBorder="1" applyAlignment="1">
      <alignment horizontal="left" indent="2"/>
    </xf>
    <xf numFmtId="0" fontId="4" fillId="0" borderId="0" xfId="0" applyFont="1" applyBorder="1" applyAlignment="1">
      <alignment horizontal="right"/>
    </xf>
    <xf numFmtId="37" fontId="4" fillId="0" borderId="0" xfId="0" applyNumberFormat="1" applyFont="1" applyBorder="1" applyAlignment="1">
      <alignment horizontal="right"/>
    </xf>
    <xf numFmtId="0" fontId="2" fillId="0" borderId="17" xfId="0" applyFont="1" applyBorder="1"/>
    <xf numFmtId="0" fontId="13" fillId="2" borderId="18" xfId="0" applyFont="1" applyFill="1" applyBorder="1"/>
    <xf numFmtId="0" fontId="13" fillId="2" borderId="19" xfId="0" applyFont="1" applyFill="1" applyBorder="1"/>
    <xf numFmtId="37" fontId="15" fillId="2" borderId="19" xfId="1" applyNumberFormat="1" applyFont="1" applyFill="1" applyBorder="1" applyAlignment="1">
      <alignment horizontal="right"/>
    </xf>
    <xf numFmtId="37" fontId="15" fillId="2" borderId="20" xfId="1" applyNumberFormat="1" applyFont="1" applyFill="1" applyBorder="1" applyAlignment="1">
      <alignment horizontal="right"/>
    </xf>
    <xf numFmtId="0" fontId="14" fillId="2" borderId="19" xfId="0" applyFont="1" applyFill="1" applyBorder="1" applyAlignment="1">
      <alignment horizontal="right"/>
    </xf>
    <xf numFmtId="0" fontId="2" fillId="0" borderId="21" xfId="0" applyFont="1" applyBorder="1"/>
    <xf numFmtId="0" fontId="2" fillId="0" borderId="21" xfId="0" applyFont="1" applyBorder="1" applyAlignment="1">
      <alignment horizontal="right"/>
    </xf>
    <xf numFmtId="3" fontId="2" fillId="0" borderId="0" xfId="0" applyNumberFormat="1" applyFont="1" applyBorder="1" applyAlignment="1">
      <alignment vertical="center"/>
    </xf>
    <xf numFmtId="3" fontId="2" fillId="0" borderId="3" xfId="0" applyNumberFormat="1" applyFont="1" applyBorder="1" applyAlignment="1">
      <alignment vertical="center"/>
    </xf>
    <xf numFmtId="0" fontId="0" fillId="0" borderId="0" xfId="0" applyAlignment="1"/>
    <xf numFmtId="0" fontId="0" fillId="0" borderId="2" xfId="0" applyBorder="1" applyAlignment="1"/>
    <xf numFmtId="0" fontId="2" fillId="0" borderId="6" xfId="0" applyFont="1" applyBorder="1"/>
    <xf numFmtId="0" fontId="2" fillId="0" borderId="2" xfId="0" applyFont="1" applyBorder="1"/>
    <xf numFmtId="0" fontId="2" fillId="0" borderId="13" xfId="0" applyFont="1" applyBorder="1"/>
    <xf numFmtId="0" fontId="2" fillId="0" borderId="22" xfId="0" applyFont="1" applyFill="1" applyBorder="1" applyAlignment="1">
      <alignment horizontal="center" vertical="center"/>
    </xf>
    <xf numFmtId="0" fontId="2" fillId="0" borderId="0" xfId="0" applyFont="1" applyFill="1" applyBorder="1" applyAlignment="1">
      <alignment vertical="center"/>
    </xf>
    <xf numFmtId="0" fontId="2" fillId="0" borderId="0" xfId="0" applyFont="1" applyFill="1" applyBorder="1"/>
    <xf numFmtId="0" fontId="0" fillId="0" borderId="0" xfId="0" applyFill="1" applyBorder="1"/>
    <xf numFmtId="0" fontId="2" fillId="0" borderId="0" xfId="0" applyFont="1" applyFill="1" applyBorder="1" applyAlignment="1"/>
    <xf numFmtId="0" fontId="0" fillId="0" borderId="0" xfId="0" applyFill="1" applyBorder="1" applyAlignment="1">
      <alignment horizontal="left" indent="1"/>
    </xf>
    <xf numFmtId="0" fontId="2" fillId="0" borderId="9" xfId="0" applyFont="1" applyBorder="1" applyAlignment="1"/>
    <xf numFmtId="0" fontId="7" fillId="0" borderId="0" xfId="0" applyFont="1" applyFill="1" applyBorder="1" applyAlignment="1">
      <alignment horizontal="left" vertical="center"/>
    </xf>
    <xf numFmtId="0" fontId="7" fillId="0" borderId="23" xfId="0" applyFont="1" applyFill="1" applyBorder="1" applyAlignment="1">
      <alignment horizontal="left" vertical="center"/>
    </xf>
    <xf numFmtId="0" fontId="0" fillId="0" borderId="8" xfId="0" applyBorder="1" applyAlignment="1">
      <alignment horizontal="left"/>
    </xf>
    <xf numFmtId="0" fontId="0" fillId="0" borderId="10" xfId="0" applyBorder="1" applyAlignment="1">
      <alignment horizontal="left"/>
    </xf>
    <xf numFmtId="0" fontId="0" fillId="0" borderId="11" xfId="0" applyBorder="1" applyAlignment="1">
      <alignment horizontal="left"/>
    </xf>
    <xf numFmtId="169" fontId="2" fillId="0" borderId="14" xfId="2" applyNumberFormat="1" applyFont="1" applyBorder="1" applyAlignment="1">
      <alignment horizontal="left"/>
    </xf>
    <xf numFmtId="0" fontId="2" fillId="0" borderId="14" xfId="0" applyFont="1" applyBorder="1" applyAlignment="1">
      <alignment horizontal="center"/>
    </xf>
    <xf numFmtId="0" fontId="9" fillId="0" borderId="10" xfId="0" applyFont="1" applyBorder="1" applyAlignment="1">
      <alignment horizontal="center"/>
    </xf>
    <xf numFmtId="0" fontId="2" fillId="0" borderId="8"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7" fillId="0" borderId="8" xfId="0" applyFont="1" applyBorder="1" applyAlignment="1">
      <alignment horizontal="center"/>
    </xf>
    <xf numFmtId="0" fontId="7" fillId="0" borderId="10" xfId="0" applyFont="1" applyBorder="1" applyAlignment="1">
      <alignment horizontal="center"/>
    </xf>
    <xf numFmtId="0" fontId="7" fillId="0" borderId="11" xfId="0" applyFont="1" applyBorder="1" applyAlignment="1">
      <alignment horizontal="center"/>
    </xf>
    <xf numFmtId="0" fontId="16" fillId="0" borderId="21" xfId="0" applyFont="1" applyBorder="1" applyAlignment="1">
      <alignment horizontal="center"/>
    </xf>
    <xf numFmtId="0" fontId="16" fillId="0" borderId="24" xfId="0" applyFont="1" applyBorder="1" applyAlignment="1">
      <alignment horizontal="center"/>
    </xf>
    <xf numFmtId="0" fontId="16" fillId="0" borderId="25" xfId="0" applyFont="1" applyBorder="1" applyAlignment="1">
      <alignment horizontal="center"/>
    </xf>
    <xf numFmtId="0" fontId="0" fillId="0" borderId="14" xfId="0" applyBorder="1" applyAlignment="1">
      <alignment horizontal="left"/>
    </xf>
    <xf numFmtId="170" fontId="2" fillId="0" borderId="14" xfId="0" applyNumberFormat="1" applyFont="1" applyBorder="1" applyAlignment="1">
      <alignment horizontal="center"/>
    </xf>
    <xf numFmtId="169" fontId="2" fillId="0" borderId="14" xfId="2" applyNumberFormat="1" applyFont="1" applyBorder="1" applyAlignment="1">
      <alignment horizontal="center"/>
    </xf>
    <xf numFmtId="169" fontId="2" fillId="0" borderId="7" xfId="2" applyNumberFormat="1" applyFont="1" applyBorder="1" applyAlignment="1">
      <alignment horizontal="center"/>
    </xf>
    <xf numFmtId="169" fontId="7" fillId="0" borderId="14" xfId="2" applyNumberFormat="1" applyFont="1" applyBorder="1" applyAlignment="1">
      <alignment horizontal="center"/>
    </xf>
    <xf numFmtId="0" fontId="2" fillId="0" borderId="14" xfId="0" applyFont="1" applyBorder="1" applyAlignment="1">
      <alignment horizontal="left"/>
    </xf>
    <xf numFmtId="0" fontId="0" fillId="0" borderId="14" xfId="0" applyBorder="1" applyAlignment="1">
      <alignment horizontal="center"/>
    </xf>
    <xf numFmtId="0" fontId="2" fillId="0" borderId="6" xfId="0" applyFont="1" applyBorder="1" applyAlignment="1">
      <alignment horizontal="center"/>
    </xf>
    <xf numFmtId="0" fontId="2" fillId="0" borderId="2" xfId="0" applyFont="1" applyBorder="1" applyAlignment="1">
      <alignment horizontal="center"/>
    </xf>
    <xf numFmtId="0" fontId="2" fillId="0" borderId="13" xfId="0" applyFont="1" applyBorder="1" applyAlignment="1">
      <alignment horizontal="center"/>
    </xf>
    <xf numFmtId="0" fontId="2" fillId="0" borderId="6" xfId="0" applyFont="1" applyBorder="1" applyAlignment="1">
      <alignment horizontal="center" wrapText="1"/>
    </xf>
    <xf numFmtId="0" fontId="2" fillId="0" borderId="2" xfId="0" applyFont="1" applyBorder="1" applyAlignment="1">
      <alignment horizontal="center" wrapText="1"/>
    </xf>
    <xf numFmtId="0" fontId="2" fillId="0" borderId="13" xfId="0" applyFont="1" applyBorder="1" applyAlignment="1">
      <alignment horizontal="center" wrapText="1"/>
    </xf>
    <xf numFmtId="0" fontId="7" fillId="0" borderId="6" xfId="0" applyFont="1" applyBorder="1" applyAlignment="1">
      <alignment horizontal="center"/>
    </xf>
    <xf numFmtId="0" fontId="7" fillId="0" borderId="2" xfId="0" applyFont="1" applyBorder="1" applyAlignment="1">
      <alignment horizontal="center"/>
    </xf>
    <xf numFmtId="0" fontId="7" fillId="0" borderId="13" xfId="0" applyFont="1" applyBorder="1" applyAlignment="1">
      <alignment horizontal="center"/>
    </xf>
    <xf numFmtId="0" fontId="2" fillId="0" borderId="7" xfId="0" applyFont="1" applyBorder="1" applyAlignment="1">
      <alignment horizontal="center"/>
    </xf>
    <xf numFmtId="0" fontId="2" fillId="0" borderId="14" xfId="0" applyFont="1" applyBorder="1" applyAlignment="1">
      <alignment horizontal="center" wrapText="1"/>
    </xf>
    <xf numFmtId="168" fontId="2" fillId="0" borderId="14" xfId="1" applyNumberFormat="1" applyFont="1" applyBorder="1" applyAlignment="1">
      <alignment horizontal="center"/>
    </xf>
    <xf numFmtId="0" fontId="1" fillId="0" borderId="14" xfId="0" applyFont="1" applyBorder="1" applyAlignment="1">
      <alignment horizontal="center"/>
    </xf>
    <xf numFmtId="169" fontId="2" fillId="0" borderId="14" xfId="0" applyNumberFormat="1" applyFont="1" applyBorder="1" applyAlignment="1">
      <alignment horizontal="left"/>
    </xf>
    <xf numFmtId="169" fontId="0" fillId="0" borderId="14" xfId="2" applyNumberFormat="1" applyFont="1" applyBorder="1" applyAlignment="1">
      <alignment horizontal="left"/>
    </xf>
    <xf numFmtId="169" fontId="0" fillId="0" borderId="7" xfId="2" applyNumberFormat="1" applyFont="1" applyBorder="1" applyAlignment="1">
      <alignment horizontal="left"/>
    </xf>
    <xf numFmtId="0" fontId="1" fillId="0" borderId="14" xfId="0" applyFont="1" applyBorder="1" applyAlignment="1">
      <alignment horizontal="left"/>
    </xf>
    <xf numFmtId="0" fontId="3" fillId="0" borderId="2" xfId="0" applyFont="1" applyBorder="1" applyAlignment="1">
      <alignment horizontal="left"/>
    </xf>
    <xf numFmtId="0" fontId="7" fillId="0" borderId="14" xfId="0" applyFont="1" applyBorder="1" applyAlignment="1">
      <alignment horizontal="center" wrapText="1"/>
    </xf>
    <xf numFmtId="0" fontId="2" fillId="0" borderId="7" xfId="0" applyFont="1" applyBorder="1" applyAlignment="1">
      <alignment horizontal="left"/>
    </xf>
    <xf numFmtId="170" fontId="7" fillId="0" borderId="14" xfId="0" applyNumberFormat="1" applyFont="1" applyBorder="1" applyAlignment="1">
      <alignment horizontal="center"/>
    </xf>
    <xf numFmtId="0" fontId="7" fillId="0" borderId="9" xfId="0" applyFont="1" applyBorder="1" applyAlignment="1">
      <alignment horizontal="right"/>
    </xf>
    <xf numFmtId="0" fontId="7" fillId="0" borderId="12" xfId="0" applyFont="1" applyBorder="1" applyAlignment="1">
      <alignment horizontal="right"/>
    </xf>
    <xf numFmtId="0" fontId="3" fillId="0" borderId="0" xfId="0" applyFont="1" applyAlignment="1">
      <alignment horizontal="center"/>
    </xf>
    <xf numFmtId="0" fontId="2" fillId="0" borderId="9" xfId="0" applyFont="1" applyBorder="1" applyAlignment="1">
      <alignment horizontal="left"/>
    </xf>
    <xf numFmtId="37" fontId="2" fillId="0" borderId="9" xfId="1" applyNumberFormat="1" applyFont="1" applyBorder="1" applyAlignment="1">
      <alignment horizontal="right"/>
    </xf>
    <xf numFmtId="37" fontId="2" fillId="0" borderId="12" xfId="1" applyNumberFormat="1" applyFont="1" applyBorder="1" applyAlignment="1">
      <alignment horizontal="right"/>
    </xf>
    <xf numFmtId="37" fontId="4" fillId="0" borderId="9" xfId="0" applyNumberFormat="1" applyFont="1" applyBorder="1" applyAlignment="1">
      <alignment horizontal="right"/>
    </xf>
    <xf numFmtId="37" fontId="4" fillId="0" borderId="12" xfId="0" applyNumberFormat="1" applyFont="1" applyBorder="1" applyAlignment="1">
      <alignment horizontal="right"/>
    </xf>
    <xf numFmtId="37" fontId="2" fillId="0" borderId="26" xfId="1" applyNumberFormat="1" applyFont="1" applyBorder="1" applyAlignment="1">
      <alignment horizontal="right"/>
    </xf>
    <xf numFmtId="0" fontId="7" fillId="0" borderId="5" xfId="0" applyFont="1" applyBorder="1" applyAlignment="1">
      <alignment horizontal="left"/>
    </xf>
    <xf numFmtId="0" fontId="7" fillId="0" borderId="9" xfId="0" applyFont="1" applyBorder="1" applyAlignment="1">
      <alignment horizontal="left"/>
    </xf>
    <xf numFmtId="0" fontId="7" fillId="0" borderId="12" xfId="0" applyFont="1" applyBorder="1" applyAlignment="1">
      <alignment horizontal="left"/>
    </xf>
    <xf numFmtId="0" fontId="2" fillId="0" borderId="4" xfId="0" applyFont="1" applyFill="1" applyBorder="1" applyAlignment="1">
      <alignment horizontal="center" vertical="center"/>
    </xf>
    <xf numFmtId="0" fontId="2" fillId="0" borderId="0" xfId="0" applyFont="1" applyFill="1" applyBorder="1" applyAlignment="1">
      <alignment horizontal="center" vertical="center"/>
    </xf>
    <xf numFmtId="0" fontId="3" fillId="0" borderId="2" xfId="0" applyFont="1" applyBorder="1" applyAlignment="1">
      <alignment horizontal="center"/>
    </xf>
    <xf numFmtId="0" fontId="4" fillId="0" borderId="9" xfId="0" applyFont="1" applyBorder="1" applyAlignment="1">
      <alignment horizontal="left" indent="2"/>
    </xf>
    <xf numFmtId="0" fontId="4" fillId="0" borderId="12" xfId="0" applyFont="1" applyBorder="1" applyAlignment="1">
      <alignment horizontal="left" indent="2"/>
    </xf>
    <xf numFmtId="3" fontId="2" fillId="0" borderId="9" xfId="0" applyNumberFormat="1" applyFont="1" applyBorder="1" applyAlignment="1">
      <alignment horizontal="right"/>
    </xf>
    <xf numFmtId="3" fontId="2" fillId="0" borderId="12" xfId="0" applyNumberFormat="1" applyFont="1" applyBorder="1" applyAlignment="1">
      <alignment horizontal="right"/>
    </xf>
    <xf numFmtId="0" fontId="2" fillId="0" borderId="0" xfId="0" applyFont="1" applyFill="1" applyBorder="1" applyAlignment="1">
      <alignment horizontal="left" vertical="center"/>
    </xf>
    <xf numFmtId="0" fontId="2" fillId="0" borderId="23" xfId="0" applyFont="1" applyFill="1" applyBorder="1" applyAlignment="1">
      <alignment horizontal="left" vertical="center"/>
    </xf>
    <xf numFmtId="0" fontId="5" fillId="0" borderId="9" xfId="0" applyFont="1" applyBorder="1" applyAlignment="1">
      <alignment horizontal="left"/>
    </xf>
    <xf numFmtId="0" fontId="5" fillId="0" borderId="12" xfId="0" applyFont="1" applyBorder="1" applyAlignment="1">
      <alignment horizontal="left"/>
    </xf>
    <xf numFmtId="3" fontId="4" fillId="0" borderId="9" xfId="0" applyNumberFormat="1" applyFont="1" applyBorder="1" applyAlignment="1">
      <alignment horizontal="right"/>
    </xf>
    <xf numFmtId="3" fontId="4" fillId="0" borderId="12" xfId="0" applyNumberFormat="1" applyFont="1" applyBorder="1" applyAlignment="1">
      <alignment horizontal="right"/>
    </xf>
    <xf numFmtId="3" fontId="4" fillId="0" borderId="26" xfId="0" applyNumberFormat="1" applyFont="1" applyBorder="1" applyAlignment="1">
      <alignment horizontal="right"/>
    </xf>
    <xf numFmtId="0" fontId="8" fillId="0" borderId="8" xfId="0" applyFont="1" applyBorder="1" applyAlignment="1">
      <alignment horizontal="left"/>
    </xf>
    <xf numFmtId="0" fontId="8" fillId="0" borderId="10" xfId="0" applyFont="1" applyBorder="1" applyAlignment="1">
      <alignment horizontal="left"/>
    </xf>
    <xf numFmtId="0" fontId="8" fillId="0" borderId="27" xfId="0" applyFont="1" applyBorder="1" applyAlignment="1">
      <alignment horizontal="left"/>
    </xf>
    <xf numFmtId="0" fontId="3" fillId="0" borderId="8" xfId="0" applyFont="1" applyBorder="1" applyAlignment="1">
      <alignment horizontal="center" vertical="top"/>
    </xf>
    <xf numFmtId="0" fontId="3" fillId="0" borderId="10" xfId="0" applyFont="1" applyBorder="1" applyAlignment="1">
      <alignment horizontal="center" vertical="top"/>
    </xf>
    <xf numFmtId="0" fontId="3" fillId="0" borderId="11" xfId="0" applyFont="1" applyBorder="1" applyAlignment="1">
      <alignment horizontal="center" vertical="top"/>
    </xf>
    <xf numFmtId="0" fontId="2" fillId="0" borderId="5" xfId="0" applyFont="1" applyBorder="1" applyAlignment="1">
      <alignment horizontal="left"/>
    </xf>
    <xf numFmtId="0" fontId="2" fillId="0" borderId="12" xfId="0" applyFont="1" applyBorder="1" applyAlignment="1">
      <alignment horizontal="left"/>
    </xf>
    <xf numFmtId="0" fontId="4" fillId="0" borderId="5" xfId="0" applyFont="1" applyBorder="1" applyAlignment="1">
      <alignment horizontal="center"/>
    </xf>
    <xf numFmtId="0" fontId="4" fillId="0" borderId="9" xfId="0" applyFont="1" applyBorder="1" applyAlignment="1">
      <alignment horizontal="center"/>
    </xf>
    <xf numFmtId="0" fontId="4" fillId="0" borderId="12" xfId="0" applyFont="1" applyBorder="1" applyAlignment="1">
      <alignment horizontal="center"/>
    </xf>
    <xf numFmtId="0" fontId="8" fillId="0" borderId="6" xfId="0" applyFont="1" applyBorder="1" applyAlignment="1">
      <alignment horizontal="left" indent="6"/>
    </xf>
    <xf numFmtId="0" fontId="8" fillId="0" borderId="2" xfId="0" applyFont="1" applyBorder="1" applyAlignment="1">
      <alignment horizontal="left" indent="6"/>
    </xf>
    <xf numFmtId="0" fontId="8" fillId="0" borderId="28" xfId="0" applyFont="1" applyBorder="1" applyAlignment="1">
      <alignment horizontal="left" indent="6"/>
    </xf>
    <xf numFmtId="37" fontId="4" fillId="0" borderId="0" xfId="1" applyNumberFormat="1" applyFont="1" applyBorder="1" applyAlignment="1">
      <alignment horizontal="right"/>
    </xf>
    <xf numFmtId="37" fontId="4" fillId="0" borderId="3" xfId="1" applyNumberFormat="1" applyFont="1" applyBorder="1" applyAlignment="1">
      <alignment horizontal="right"/>
    </xf>
    <xf numFmtId="0" fontId="7" fillId="0" borderId="9" xfId="0" applyFont="1" applyBorder="1" applyAlignment="1">
      <alignment horizontal="center"/>
    </xf>
    <xf numFmtId="0" fontId="7" fillId="0" borderId="12" xfId="0" applyFont="1" applyBorder="1" applyAlignment="1">
      <alignment horizontal="center"/>
    </xf>
    <xf numFmtId="37" fontId="4" fillId="0" borderId="2" xfId="0" applyNumberFormat="1" applyFont="1" applyBorder="1" applyAlignment="1">
      <alignment horizontal="right"/>
    </xf>
    <xf numFmtId="37" fontId="4" fillId="0" borderId="28" xfId="0" applyNumberFormat="1" applyFont="1" applyBorder="1" applyAlignment="1">
      <alignment horizontal="right"/>
    </xf>
    <xf numFmtId="37" fontId="4" fillId="0" borderId="26" xfId="0" applyNumberFormat="1" applyFont="1" applyBorder="1" applyAlignment="1">
      <alignment horizontal="right"/>
    </xf>
    <xf numFmtId="37" fontId="2" fillId="0" borderId="2" xfId="1" applyNumberFormat="1" applyFont="1" applyBorder="1" applyAlignment="1">
      <alignment horizontal="right"/>
    </xf>
    <xf numFmtId="37" fontId="2" fillId="0" borderId="28" xfId="1" applyNumberFormat="1" applyFont="1" applyBorder="1" applyAlignment="1">
      <alignment horizontal="right"/>
    </xf>
    <xf numFmtId="0" fontId="2" fillId="0" borderId="21" xfId="0" applyFont="1" applyBorder="1" applyAlignment="1">
      <alignment horizontal="left" vertical="center" wrapText="1" indent="1"/>
    </xf>
    <xf numFmtId="0" fontId="2" fillId="0" borderId="24" xfId="0" applyFont="1" applyBorder="1" applyAlignment="1">
      <alignment horizontal="left" vertical="center" wrapText="1" indent="1"/>
    </xf>
    <xf numFmtId="0" fontId="2" fillId="0" borderId="25" xfId="0" applyFont="1" applyBorder="1" applyAlignment="1">
      <alignment horizontal="left" vertical="center" wrapText="1" indent="1"/>
    </xf>
    <xf numFmtId="164" fontId="0" fillId="0" borderId="2" xfId="0" applyNumberFormat="1" applyBorder="1" applyAlignment="1">
      <alignment horizontal="center"/>
    </xf>
    <xf numFmtId="0" fontId="2" fillId="0" borderId="6" xfId="0" applyFont="1" applyBorder="1" applyAlignment="1">
      <alignment horizontal="left" indent="1"/>
    </xf>
    <xf numFmtId="0" fontId="2" fillId="0" borderId="2" xfId="0" applyFont="1" applyBorder="1" applyAlignment="1">
      <alignment horizontal="left" indent="1"/>
    </xf>
    <xf numFmtId="0" fontId="2" fillId="0" borderId="13" xfId="0" applyFont="1" applyBorder="1" applyAlignment="1">
      <alignment horizontal="left" indent="1"/>
    </xf>
    <xf numFmtId="3" fontId="2" fillId="0" borderId="9" xfId="0" applyNumberFormat="1" applyFont="1" applyFill="1" applyBorder="1" applyAlignment="1">
      <alignment horizontal="right"/>
    </xf>
    <xf numFmtId="3" fontId="2" fillId="0" borderId="12" xfId="0" applyNumberFormat="1" applyFont="1" applyFill="1" applyBorder="1" applyAlignment="1">
      <alignment horizontal="right"/>
    </xf>
    <xf numFmtId="3" fontId="6" fillId="0" borderId="9" xfId="0" applyNumberFormat="1" applyFont="1" applyFill="1" applyBorder="1" applyAlignment="1">
      <alignment horizontal="center"/>
    </xf>
    <xf numFmtId="3" fontId="6" fillId="0" borderId="26" xfId="0" applyNumberFormat="1" applyFont="1" applyFill="1" applyBorder="1" applyAlignment="1">
      <alignment horizontal="center"/>
    </xf>
    <xf numFmtId="0" fontId="4" fillId="0" borderId="7" xfId="0" applyFont="1" applyBorder="1" applyAlignment="1">
      <alignment horizontal="left" indent="4"/>
    </xf>
    <xf numFmtId="0" fontId="4" fillId="0" borderId="9" xfId="0" applyFont="1" applyBorder="1" applyAlignment="1">
      <alignment horizontal="left" indent="4"/>
    </xf>
    <xf numFmtId="0" fontId="4" fillId="0" borderId="12" xfId="0" applyFont="1" applyBorder="1" applyAlignment="1">
      <alignment horizontal="left" indent="4"/>
    </xf>
    <xf numFmtId="0" fontId="2" fillId="0" borderId="9" xfId="0" applyFont="1" applyBorder="1" applyAlignment="1">
      <alignment horizontal="center"/>
    </xf>
    <xf numFmtId="0" fontId="2" fillId="0" borderId="12" xfId="0" applyFont="1" applyBorder="1" applyAlignment="1">
      <alignment horizontal="center"/>
    </xf>
    <xf numFmtId="0" fontId="4" fillId="0" borderId="0" xfId="0" applyFont="1" applyBorder="1" applyAlignment="1">
      <alignment horizontal="left" indent="2"/>
    </xf>
    <xf numFmtId="0" fontId="4" fillId="0" borderId="3" xfId="0" applyFont="1" applyBorder="1" applyAlignment="1">
      <alignment horizontal="left" indent="2"/>
    </xf>
    <xf numFmtId="0" fontId="2" fillId="0" borderId="1" xfId="0" applyFont="1" applyBorder="1" applyAlignment="1">
      <alignment horizontal="center"/>
    </xf>
    <xf numFmtId="0" fontId="2" fillId="0" borderId="28" xfId="0" applyFont="1" applyBorder="1" applyAlignment="1">
      <alignment horizontal="center"/>
    </xf>
    <xf numFmtId="37" fontId="2" fillId="0" borderId="9" xfId="1" applyNumberFormat="1" applyFont="1" applyFill="1" applyBorder="1" applyAlignment="1">
      <alignment horizontal="right"/>
    </xf>
    <xf numFmtId="37" fontId="2" fillId="0" borderId="26" xfId="1" applyNumberFormat="1" applyFont="1" applyFill="1" applyBorder="1" applyAlignment="1">
      <alignment horizontal="right"/>
    </xf>
    <xf numFmtId="3" fontId="2" fillId="0" borderId="26" xfId="0" applyNumberFormat="1" applyFont="1" applyBorder="1" applyAlignment="1">
      <alignment horizontal="right"/>
    </xf>
    <xf numFmtId="0" fontId="5" fillId="0" borderId="4" xfId="0" applyFont="1" applyBorder="1" applyAlignment="1">
      <alignment horizontal="center"/>
    </xf>
    <xf numFmtId="0" fontId="5" fillId="0" borderId="0" xfId="0" applyFont="1" applyBorder="1" applyAlignment="1">
      <alignment horizontal="center"/>
    </xf>
    <xf numFmtId="0" fontId="5" fillId="0" borderId="23" xfId="0" applyFont="1" applyBorder="1" applyAlignment="1">
      <alignment horizontal="center"/>
    </xf>
    <xf numFmtId="0" fontId="2" fillId="0" borderId="0" xfId="0" applyFont="1" applyBorder="1" applyAlignment="1">
      <alignment horizontal="center"/>
    </xf>
    <xf numFmtId="0" fontId="2" fillId="0" borderId="23" xfId="0" applyFont="1" applyBorder="1" applyAlignment="1">
      <alignment horizontal="center"/>
    </xf>
    <xf numFmtId="0" fontId="2" fillId="0" borderId="4" xfId="0" applyFont="1" applyBorder="1" applyAlignment="1">
      <alignment horizontal="left"/>
    </xf>
    <xf numFmtId="0" fontId="2" fillId="0" borderId="0" xfId="0" applyFont="1" applyBorder="1" applyAlignment="1">
      <alignment horizontal="left"/>
    </xf>
    <xf numFmtId="0" fontId="2" fillId="0" borderId="3" xfId="0" applyFont="1" applyBorder="1" applyAlignment="1">
      <alignment horizontal="left"/>
    </xf>
    <xf numFmtId="3" fontId="2" fillId="0" borderId="10" xfId="0" applyNumberFormat="1" applyFont="1" applyBorder="1" applyAlignment="1">
      <alignment horizontal="right"/>
    </xf>
    <xf numFmtId="3" fontId="2" fillId="0" borderId="11" xfId="0" applyNumberFormat="1" applyFont="1" applyBorder="1" applyAlignment="1">
      <alignment horizontal="right"/>
    </xf>
    <xf numFmtId="3" fontId="2" fillId="0" borderId="27" xfId="0" applyNumberFormat="1" applyFont="1" applyBorder="1" applyAlignment="1">
      <alignment horizontal="right"/>
    </xf>
    <xf numFmtId="0" fontId="2" fillId="0" borderId="0" xfId="0" applyFont="1" applyAlignment="1">
      <alignment horizontal="right"/>
    </xf>
    <xf numFmtId="0" fontId="2" fillId="0" borderId="3" xfId="0" applyFont="1" applyBorder="1" applyAlignment="1">
      <alignment horizontal="right"/>
    </xf>
    <xf numFmtId="165" fontId="3" fillId="0" borderId="7" xfId="0" applyNumberFormat="1" applyFont="1" applyBorder="1" applyAlignment="1">
      <alignment horizontal="left" indent="1"/>
    </xf>
    <xf numFmtId="165" fontId="3" fillId="0" borderId="9" xfId="0" applyNumberFormat="1" applyFont="1" applyBorder="1" applyAlignment="1">
      <alignment horizontal="left" indent="1"/>
    </xf>
    <xf numFmtId="165" fontId="3" fillId="0" borderId="12" xfId="0" applyNumberFormat="1" applyFont="1" applyBorder="1" applyAlignment="1">
      <alignment horizontal="left" indent="1"/>
    </xf>
    <xf numFmtId="0" fontId="3" fillId="0" borderId="4" xfId="0" applyFont="1" applyBorder="1" applyAlignment="1">
      <alignment horizontal="center"/>
    </xf>
    <xf numFmtId="0" fontId="3" fillId="0" borderId="10" xfId="0" applyFont="1" applyBorder="1" applyAlignment="1">
      <alignment horizontal="center"/>
    </xf>
    <xf numFmtId="0" fontId="3" fillId="0" borderId="27" xfId="0" applyFont="1" applyBorder="1" applyAlignment="1">
      <alignment horizontal="center"/>
    </xf>
    <xf numFmtId="0" fontId="3" fillId="0" borderId="29" xfId="0" applyFont="1" applyBorder="1" applyAlignment="1">
      <alignment horizontal="center"/>
    </xf>
    <xf numFmtId="0" fontId="3" fillId="0" borderId="11" xfId="0" applyFont="1" applyBorder="1" applyAlignment="1">
      <alignment horizontal="center"/>
    </xf>
    <xf numFmtId="165" fontId="3" fillId="0" borderId="14" xfId="0" applyNumberFormat="1" applyFont="1" applyBorder="1" applyAlignment="1">
      <alignment horizontal="left" indent="1"/>
    </xf>
    <xf numFmtId="0" fontId="4" fillId="0" borderId="7" xfId="0" applyFont="1" applyBorder="1" applyAlignment="1">
      <alignment horizontal="left" indent="1"/>
    </xf>
    <xf numFmtId="0" fontId="4" fillId="0" borderId="9" xfId="0" applyFont="1" applyBorder="1" applyAlignment="1">
      <alignment horizontal="left" indent="1"/>
    </xf>
    <xf numFmtId="0" fontId="4" fillId="0" borderId="12" xfId="0" applyFont="1" applyBorder="1" applyAlignment="1">
      <alignment horizontal="left" indent="1"/>
    </xf>
    <xf numFmtId="0" fontId="3" fillId="0" borderId="14" xfId="0" applyFont="1" applyBorder="1" applyAlignment="1">
      <alignment horizontal="left" indent="1"/>
    </xf>
    <xf numFmtId="0" fontId="2" fillId="0" borderId="0" xfId="0" applyFont="1" applyBorder="1" applyAlignment="1">
      <alignment horizontal="right"/>
    </xf>
    <xf numFmtId="0" fontId="4" fillId="0" borderId="14" xfId="0" applyFont="1" applyBorder="1" applyAlignment="1">
      <alignment horizontal="left" indent="1"/>
    </xf>
    <xf numFmtId="167" fontId="3" fillId="0" borderId="7" xfId="0" applyNumberFormat="1" applyFont="1" applyBorder="1" applyAlignment="1">
      <alignment horizontal="left" indent="1"/>
    </xf>
    <xf numFmtId="167" fontId="3" fillId="0" borderId="9" xfId="0" applyNumberFormat="1" applyFont="1" applyBorder="1" applyAlignment="1">
      <alignment horizontal="left" indent="1"/>
    </xf>
    <xf numFmtId="167" fontId="3" fillId="0" borderId="12" xfId="0" applyNumberFormat="1" applyFont="1" applyBorder="1" applyAlignment="1">
      <alignment horizontal="left" indent="1"/>
    </xf>
    <xf numFmtId="14" fontId="3" fillId="0" borderId="14" xfId="0" applyNumberFormat="1" applyFont="1" applyBorder="1" applyAlignment="1">
      <alignment horizontal="left" indent="1"/>
    </xf>
    <xf numFmtId="166" fontId="3" fillId="0" borderId="7" xfId="0" applyNumberFormat="1" applyFont="1" applyBorder="1" applyAlignment="1">
      <alignment horizontal="left" indent="1"/>
    </xf>
    <xf numFmtId="166" fontId="3" fillId="0" borderId="9" xfId="0" applyNumberFormat="1" applyFont="1" applyBorder="1" applyAlignment="1">
      <alignment horizontal="left" indent="1"/>
    </xf>
    <xf numFmtId="166" fontId="3" fillId="0" borderId="12" xfId="0" applyNumberFormat="1" applyFont="1" applyBorder="1" applyAlignment="1">
      <alignment horizontal="left" indent="1"/>
    </xf>
    <xf numFmtId="166" fontId="3" fillId="0" borderId="14" xfId="0" applyNumberFormat="1" applyFont="1" applyBorder="1" applyAlignment="1">
      <alignment horizontal="left" indent="1"/>
    </xf>
    <xf numFmtId="0" fontId="0" fillId="0" borderId="0" xfId="0" applyAlignment="1">
      <alignment horizontal="right"/>
    </xf>
    <xf numFmtId="0" fontId="3" fillId="0" borderId="7" xfId="0" applyFont="1" applyBorder="1" applyAlignment="1">
      <alignment horizontal="left" indent="1"/>
    </xf>
    <xf numFmtId="0" fontId="3" fillId="0" borderId="9" xfId="0" applyFont="1" applyBorder="1" applyAlignment="1">
      <alignment horizontal="left" indent="1"/>
    </xf>
    <xf numFmtId="0" fontId="3" fillId="0" borderId="12" xfId="0" applyFont="1" applyBorder="1" applyAlignment="1">
      <alignment horizontal="left" indent="1"/>
    </xf>
    <xf numFmtId="0" fontId="2" fillId="0" borderId="0" xfId="0" applyFont="1" applyAlignment="1">
      <alignment horizontal="center"/>
    </xf>
    <xf numFmtId="164" fontId="3" fillId="0" borderId="2" xfId="0" applyNumberFormat="1" applyFont="1" applyBorder="1" applyAlignment="1">
      <alignment horizontal="center"/>
    </xf>
    <xf numFmtId="0" fontId="4" fillId="0" borderId="0" xfId="0" applyFont="1" applyAlignment="1">
      <alignment horizontal="center"/>
    </xf>
    <xf numFmtId="0" fontId="0" fillId="0" borderId="6" xfId="0" applyBorder="1" applyAlignment="1">
      <alignment horizontal="center"/>
    </xf>
    <xf numFmtId="0" fontId="0" fillId="0" borderId="13" xfId="0" applyBorder="1" applyAlignment="1">
      <alignment horizontal="center"/>
    </xf>
    <xf numFmtId="169" fontId="7" fillId="0" borderId="14" xfId="2" applyNumberFormat="1" applyFont="1" applyBorder="1" applyAlignment="1">
      <alignment horizontal="left"/>
    </xf>
    <xf numFmtId="169" fontId="2" fillId="0" borderId="14" xfId="0" applyNumberFormat="1" applyFont="1" applyBorder="1" applyAlignment="1">
      <alignment horizontal="center"/>
    </xf>
    <xf numFmtId="10" fontId="2" fillId="0" borderId="14" xfId="3" applyNumberFormat="1" applyFont="1" applyBorder="1" applyAlignment="1">
      <alignment horizontal="center"/>
    </xf>
    <xf numFmtId="0" fontId="10" fillId="0" borderId="24" xfId="0" applyFont="1" applyBorder="1" applyAlignment="1">
      <alignment horizontal="right"/>
    </xf>
    <xf numFmtId="0" fontId="10" fillId="0" borderId="25" xfId="0" applyFont="1" applyBorder="1" applyAlignment="1">
      <alignment horizontal="right"/>
    </xf>
    <xf numFmtId="168" fontId="4" fillId="0" borderId="24" xfId="1" applyNumberFormat="1" applyFont="1" applyBorder="1" applyAlignment="1">
      <alignment horizontal="center"/>
    </xf>
    <xf numFmtId="168" fontId="4" fillId="0" borderId="25" xfId="1" applyNumberFormat="1" applyFont="1" applyBorder="1" applyAlignment="1">
      <alignment horizontal="center"/>
    </xf>
    <xf numFmtId="0" fontId="4" fillId="0" borderId="24" xfId="0" applyFont="1" applyBorder="1" applyAlignment="1">
      <alignment horizontal="left"/>
    </xf>
    <xf numFmtId="169" fontId="2" fillId="0" borderId="14" xfId="2" applyNumberFormat="1" applyFont="1" applyBorder="1" applyAlignment="1">
      <alignment horizontal="right"/>
    </xf>
    <xf numFmtId="0" fontId="9" fillId="0" borderId="0" xfId="0" applyFont="1" applyAlignment="1">
      <alignment horizontal="center"/>
    </xf>
    <xf numFmtId="2" fontId="2" fillId="0" borderId="14" xfId="0" quotePrefix="1" applyNumberFormat="1" applyFont="1" applyBorder="1" applyAlignment="1">
      <alignment horizontal="center"/>
    </xf>
    <xf numFmtId="2" fontId="2" fillId="0" borderId="14" xfId="0" applyNumberFormat="1" applyFont="1" applyBorder="1" applyAlignment="1">
      <alignment horizontal="center"/>
    </xf>
    <xf numFmtId="1" fontId="2" fillId="0" borderId="14" xfId="0" quotePrefix="1" applyNumberFormat="1" applyFont="1" applyBorder="1" applyAlignment="1">
      <alignment horizontal="center"/>
    </xf>
    <xf numFmtId="1" fontId="2" fillId="0" borderId="14" xfId="0" applyNumberFormat="1" applyFont="1" applyBorder="1" applyAlignment="1">
      <alignment horizontal="center"/>
    </xf>
    <xf numFmtId="175" fontId="7" fillId="0" borderId="14" xfId="2" applyNumberFormat="1" applyFont="1" applyBorder="1" applyAlignment="1">
      <alignment horizontal="center"/>
    </xf>
    <xf numFmtId="44" fontId="7" fillId="0" borderId="14" xfId="2" applyNumberFormat="1" applyFont="1" applyBorder="1" applyAlignment="1">
      <alignment horizontal="center"/>
    </xf>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20</xdr:col>
      <xdr:colOff>161925</xdr:colOff>
      <xdr:row>32</xdr:row>
      <xdr:rowOff>142875</xdr:rowOff>
    </xdr:from>
    <xdr:to>
      <xdr:col>33</xdr:col>
      <xdr:colOff>123825</xdr:colOff>
      <xdr:row>37</xdr:row>
      <xdr:rowOff>66675</xdr:rowOff>
    </xdr:to>
    <xdr:sp macro="" textlink="">
      <xdr:nvSpPr>
        <xdr:cNvPr id="1028" name="Text Box 4"/>
        <xdr:cNvSpPr txBox="1">
          <a:spLocks noChangeArrowheads="1"/>
        </xdr:cNvSpPr>
      </xdr:nvSpPr>
      <xdr:spPr bwMode="auto">
        <a:xfrm>
          <a:off x="4162425" y="5229225"/>
          <a:ext cx="2562225" cy="6096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Provide Separate Attachment from Attorney if Necessary:</a:t>
          </a:r>
        </a:p>
      </xdr:txBody>
    </xdr:sp>
    <xdr:clientData/>
  </xdr:twoCellAnchor>
  <xdr:twoCellAnchor editAs="oneCell">
    <xdr:from>
      <xdr:col>0</xdr:col>
      <xdr:colOff>1</xdr:colOff>
      <xdr:row>0</xdr:row>
      <xdr:rowOff>0</xdr:rowOff>
    </xdr:from>
    <xdr:to>
      <xdr:col>11</xdr:col>
      <xdr:colOff>20872</xdr:colOff>
      <xdr:row>5</xdr:row>
      <xdr:rowOff>152400</xdr:rowOff>
    </xdr:to>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1" y="0"/>
          <a:ext cx="2221146" cy="96202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H212"/>
  <sheetViews>
    <sheetView showGridLines="0" showZeros="0" tabSelected="1" topLeftCell="A103" zoomScaleNormal="100" workbookViewId="0">
      <selection activeCell="AC130" sqref="AC130:AH130"/>
    </sheetView>
  </sheetViews>
  <sheetFormatPr defaultRowHeight="12.75"/>
  <cols>
    <col min="1" max="34" width="3" customWidth="1"/>
  </cols>
  <sheetData>
    <row r="1" spans="1:34">
      <c r="Q1" t="s">
        <v>0</v>
      </c>
      <c r="R1" s="1" t="s">
        <v>219</v>
      </c>
      <c r="AA1" t="s">
        <v>222</v>
      </c>
    </row>
    <row r="2" spans="1:34">
      <c r="R2" t="s">
        <v>220</v>
      </c>
      <c r="AA2" t="s">
        <v>223</v>
      </c>
    </row>
    <row r="3" spans="1:34">
      <c r="R3" t="s">
        <v>221</v>
      </c>
    </row>
    <row r="6" spans="1:34">
      <c r="A6" s="128" t="s">
        <v>1</v>
      </c>
      <c r="B6" s="128"/>
      <c r="C6" s="128"/>
      <c r="D6" s="128"/>
      <c r="E6" s="128"/>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row>
    <row r="7" spans="1:34">
      <c r="A7" s="238" t="s">
        <v>217</v>
      </c>
      <c r="B7" s="238"/>
      <c r="C7" s="238"/>
      <c r="D7" s="238"/>
      <c r="E7" s="238"/>
      <c r="F7" s="238"/>
      <c r="G7" s="238"/>
      <c r="H7" s="238"/>
      <c r="I7" s="238"/>
      <c r="J7" s="238"/>
      <c r="K7" s="238"/>
      <c r="L7" s="238"/>
      <c r="M7" s="238"/>
      <c r="N7" s="238"/>
      <c r="O7" s="238"/>
      <c r="P7" s="238"/>
      <c r="Q7" s="238"/>
      <c r="R7" s="238"/>
      <c r="S7" s="238"/>
      <c r="T7" s="238"/>
      <c r="U7" s="238"/>
      <c r="V7" s="238"/>
      <c r="W7" s="238"/>
      <c r="X7" s="238"/>
      <c r="Y7" s="238"/>
      <c r="Z7" s="238"/>
      <c r="AA7" s="238"/>
      <c r="AB7" s="238"/>
      <c r="AC7" s="238"/>
      <c r="AD7" s="238"/>
      <c r="AE7" s="238"/>
      <c r="AF7" s="238"/>
      <c r="AG7" s="238"/>
      <c r="AH7" s="238"/>
    </row>
    <row r="8" spans="1:34">
      <c r="A8" t="s">
        <v>2</v>
      </c>
      <c r="F8" s="239">
        <v>42567</v>
      </c>
      <c r="G8" s="239"/>
      <c r="H8" s="239"/>
      <c r="I8" s="239"/>
      <c r="J8" s="239"/>
      <c r="K8" s="239"/>
      <c r="L8" s="239"/>
      <c r="M8" s="239"/>
      <c r="N8" s="239"/>
      <c r="S8" s="240" t="s">
        <v>3</v>
      </c>
      <c r="T8" s="240"/>
      <c r="U8" s="240"/>
      <c r="V8" s="240"/>
      <c r="W8" s="240"/>
      <c r="X8" s="240"/>
      <c r="Y8" s="240"/>
      <c r="Z8" s="240"/>
      <c r="AA8" s="240"/>
      <c r="AB8" s="240"/>
      <c r="AC8" s="240"/>
      <c r="AD8" s="240"/>
      <c r="AE8" s="240"/>
      <c r="AF8" s="240"/>
      <c r="AG8" s="240"/>
      <c r="AH8" s="240"/>
    </row>
    <row r="9" spans="1:34" ht="6" customHeight="1"/>
    <row r="10" spans="1:34" ht="14.25" customHeight="1">
      <c r="A10" s="209" t="s">
        <v>4</v>
      </c>
      <c r="B10" s="209"/>
      <c r="C10" s="209"/>
      <c r="D10" s="209"/>
      <c r="E10" s="209"/>
      <c r="F10" s="223" t="s">
        <v>230</v>
      </c>
      <c r="G10" s="223"/>
      <c r="H10" s="223"/>
      <c r="I10" s="223"/>
      <c r="J10" s="223"/>
      <c r="K10" s="223"/>
      <c r="L10" s="223"/>
      <c r="M10" s="223"/>
      <c r="N10" s="223"/>
      <c r="O10" s="223"/>
      <c r="P10" s="223"/>
      <c r="Q10" s="223"/>
      <c r="S10" s="234" t="s">
        <v>5</v>
      </c>
      <c r="T10" s="234"/>
      <c r="U10" s="234"/>
      <c r="V10" s="234"/>
      <c r="W10" s="234"/>
      <c r="X10" s="235"/>
      <c r="Y10" s="236"/>
      <c r="Z10" s="236"/>
      <c r="AA10" s="236"/>
      <c r="AB10" s="236"/>
      <c r="AC10" s="236"/>
      <c r="AD10" s="236"/>
      <c r="AE10" s="236"/>
      <c r="AF10" s="236"/>
      <c r="AG10" s="236"/>
      <c r="AH10" s="237"/>
    </row>
    <row r="11" spans="1:34" ht="14.25" customHeight="1">
      <c r="A11" s="209" t="s">
        <v>6</v>
      </c>
      <c r="B11" s="209"/>
      <c r="C11" s="209"/>
      <c r="D11" s="209"/>
      <c r="E11" s="209"/>
      <c r="F11" s="223" t="s">
        <v>231</v>
      </c>
      <c r="G11" s="223"/>
      <c r="H11" s="223"/>
      <c r="I11" s="223"/>
      <c r="J11" s="223"/>
      <c r="K11" s="223"/>
      <c r="L11" s="223"/>
      <c r="M11" s="223"/>
      <c r="N11" s="223"/>
      <c r="O11" s="223"/>
      <c r="P11" s="223"/>
      <c r="Q11" s="223"/>
      <c r="S11" s="209" t="s">
        <v>4</v>
      </c>
      <c r="T11" s="209"/>
      <c r="U11" s="209"/>
      <c r="V11" s="209"/>
      <c r="W11" s="209"/>
      <c r="X11" s="223"/>
      <c r="Y11" s="223"/>
      <c r="Z11" s="223"/>
      <c r="AA11" s="223"/>
      <c r="AB11" s="223"/>
      <c r="AC11" s="223"/>
      <c r="AD11" s="223"/>
      <c r="AE11" s="223"/>
      <c r="AF11" s="223"/>
      <c r="AG11" s="223"/>
      <c r="AH11" s="223"/>
    </row>
    <row r="12" spans="1:34" ht="14.25" customHeight="1">
      <c r="A12" s="209" t="s">
        <v>7</v>
      </c>
      <c r="B12" s="209"/>
      <c r="C12" s="209"/>
      <c r="D12" s="209"/>
      <c r="E12" s="209"/>
      <c r="F12" s="223" t="s">
        <v>232</v>
      </c>
      <c r="G12" s="223"/>
      <c r="H12" s="223"/>
      <c r="I12" s="223"/>
      <c r="J12" s="223"/>
      <c r="K12" s="223"/>
      <c r="L12" s="223"/>
      <c r="M12" s="223"/>
      <c r="N12" s="223"/>
      <c r="O12" s="223"/>
      <c r="P12" s="223"/>
      <c r="Q12" s="223"/>
      <c r="S12" s="209" t="s">
        <v>6</v>
      </c>
      <c r="T12" s="209"/>
      <c r="U12" s="209"/>
      <c r="V12" s="209"/>
      <c r="W12" s="210"/>
      <c r="X12" s="235" t="str">
        <f>IF(X11="","",F11)</f>
        <v/>
      </c>
      <c r="Y12" s="236"/>
      <c r="Z12" s="236"/>
      <c r="AA12" s="236"/>
      <c r="AB12" s="236"/>
      <c r="AC12" s="236"/>
      <c r="AD12" s="236"/>
      <c r="AE12" s="236"/>
      <c r="AF12" s="236"/>
      <c r="AG12" s="236"/>
      <c r="AH12" s="237"/>
    </row>
    <row r="13" spans="1:34" ht="14.25" customHeight="1">
      <c r="A13" s="209" t="s">
        <v>8</v>
      </c>
      <c r="B13" s="209"/>
      <c r="C13" s="209"/>
      <c r="D13" s="209"/>
      <c r="E13" s="209"/>
      <c r="F13" s="219">
        <v>3377801535</v>
      </c>
      <c r="G13" s="219"/>
      <c r="H13" s="219"/>
      <c r="I13" s="219"/>
      <c r="J13" s="219"/>
      <c r="K13" s="219"/>
      <c r="L13" s="219"/>
      <c r="M13" s="219"/>
      <c r="N13" s="219"/>
      <c r="O13" s="219"/>
      <c r="P13" s="219"/>
      <c r="Q13" s="219"/>
      <c r="S13" s="209" t="s">
        <v>7</v>
      </c>
      <c r="T13" s="209"/>
      <c r="U13" s="209"/>
      <c r="V13" s="209"/>
      <c r="W13" s="210"/>
      <c r="X13" s="235" t="str">
        <f>IF(X11="","",F12)</f>
        <v/>
      </c>
      <c r="Y13" s="236"/>
      <c r="Z13" s="236"/>
      <c r="AA13" s="236"/>
      <c r="AB13" s="236"/>
      <c r="AC13" s="236"/>
      <c r="AD13" s="236"/>
      <c r="AE13" s="236"/>
      <c r="AF13" s="236"/>
      <c r="AG13" s="236"/>
      <c r="AH13" s="237"/>
    </row>
    <row r="14" spans="1:34" ht="14.25" customHeight="1">
      <c r="A14" s="209" t="s">
        <v>9</v>
      </c>
      <c r="B14" s="209"/>
      <c r="C14" s="209"/>
      <c r="D14" s="209"/>
      <c r="E14" s="209"/>
      <c r="F14" s="233" t="s">
        <v>234</v>
      </c>
      <c r="G14" s="233"/>
      <c r="H14" s="233"/>
      <c r="I14" s="233"/>
      <c r="J14" s="233"/>
      <c r="K14" s="233"/>
      <c r="L14" s="233"/>
      <c r="M14" s="233"/>
      <c r="N14" s="233"/>
      <c r="O14" s="233"/>
      <c r="P14" s="233"/>
      <c r="Q14" s="233"/>
      <c r="S14" s="209" t="s">
        <v>8</v>
      </c>
      <c r="T14" s="209"/>
      <c r="U14" s="209"/>
      <c r="V14" s="209"/>
      <c r="W14" s="210"/>
      <c r="X14" s="211" t="str">
        <f>IF(X11="","",F13)</f>
        <v/>
      </c>
      <c r="Y14" s="212"/>
      <c r="Z14" s="212"/>
      <c r="AA14" s="212"/>
      <c r="AB14" s="212"/>
      <c r="AC14" s="212"/>
      <c r="AD14" s="212"/>
      <c r="AE14" s="212"/>
      <c r="AF14" s="212"/>
      <c r="AG14" s="212"/>
      <c r="AH14" s="213"/>
    </row>
    <row r="15" spans="1:34" ht="14.25" customHeight="1">
      <c r="A15" s="209" t="s">
        <v>10</v>
      </c>
      <c r="B15" s="209"/>
      <c r="C15" s="209"/>
      <c r="D15" s="209"/>
      <c r="E15" s="209"/>
      <c r="F15" s="229">
        <v>26805</v>
      </c>
      <c r="G15" s="229"/>
      <c r="H15" s="229"/>
      <c r="I15" s="229"/>
      <c r="J15" s="229"/>
      <c r="K15" s="229"/>
      <c r="L15" s="229"/>
      <c r="M15" s="229"/>
      <c r="N15" s="229"/>
      <c r="O15" s="229"/>
      <c r="P15" s="229"/>
      <c r="Q15" s="229"/>
      <c r="S15" s="209" t="s">
        <v>9</v>
      </c>
      <c r="T15" s="209"/>
      <c r="U15" s="209"/>
      <c r="V15" s="209"/>
      <c r="W15" s="210"/>
      <c r="X15" s="230"/>
      <c r="Y15" s="231"/>
      <c r="Z15" s="231"/>
      <c r="AA15" s="231"/>
      <c r="AB15" s="231"/>
      <c r="AC15" s="231"/>
      <c r="AD15" s="231"/>
      <c r="AE15" s="231"/>
      <c r="AF15" s="231"/>
      <c r="AG15" s="231"/>
      <c r="AH15" s="232"/>
    </row>
    <row r="16" spans="1:34" ht="14.25" customHeight="1">
      <c r="A16" s="224" t="s">
        <v>11</v>
      </c>
      <c r="B16" s="224"/>
      <c r="C16" s="224"/>
      <c r="D16" s="224"/>
      <c r="E16" s="224"/>
      <c r="F16" s="225" t="s">
        <v>233</v>
      </c>
      <c r="G16" s="225"/>
      <c r="H16" s="225"/>
      <c r="I16" s="225"/>
      <c r="J16" s="225"/>
      <c r="K16" s="225"/>
      <c r="L16" s="225"/>
      <c r="M16" s="225"/>
      <c r="N16" s="225"/>
      <c r="O16" s="225"/>
      <c r="P16" s="225"/>
      <c r="Q16" s="225"/>
      <c r="S16" s="209" t="s">
        <v>10</v>
      </c>
      <c r="T16" s="209"/>
      <c r="U16" s="209"/>
      <c r="V16" s="209"/>
      <c r="W16" s="210"/>
      <c r="X16" s="226"/>
      <c r="Y16" s="227"/>
      <c r="Z16" s="227"/>
      <c r="AA16" s="227"/>
      <c r="AB16" s="227"/>
      <c r="AC16" s="227"/>
      <c r="AD16" s="227"/>
      <c r="AE16" s="227"/>
      <c r="AF16" s="227"/>
      <c r="AG16" s="227"/>
      <c r="AH16" s="228"/>
    </row>
    <row r="17" spans="1:34" ht="14.25" customHeight="1">
      <c r="A17" s="209" t="s">
        <v>12</v>
      </c>
      <c r="B17" s="209"/>
      <c r="C17" s="209"/>
      <c r="D17" s="209"/>
      <c r="E17" s="209"/>
      <c r="F17" s="219">
        <v>3377068810</v>
      </c>
      <c r="G17" s="219"/>
      <c r="H17" s="219"/>
      <c r="I17" s="219"/>
      <c r="J17" s="219"/>
      <c r="K17" s="219"/>
      <c r="L17" s="219"/>
      <c r="M17" s="219"/>
      <c r="N17" s="219"/>
      <c r="O17" s="219"/>
      <c r="P17" s="219"/>
      <c r="Q17" s="219"/>
      <c r="S17" s="209" t="s">
        <v>11</v>
      </c>
      <c r="T17" s="209"/>
      <c r="U17" s="209"/>
      <c r="V17" s="209"/>
      <c r="W17" s="210"/>
      <c r="X17" s="220"/>
      <c r="Y17" s="221"/>
      <c r="Z17" s="221"/>
      <c r="AA17" s="221"/>
      <c r="AB17" s="221"/>
      <c r="AC17" s="221"/>
      <c r="AD17" s="221"/>
      <c r="AE17" s="221"/>
      <c r="AF17" s="221"/>
      <c r="AG17" s="221"/>
      <c r="AH17" s="222"/>
    </row>
    <row r="18" spans="1:34" ht="14.25" customHeight="1">
      <c r="A18" s="3"/>
      <c r="B18" s="3"/>
      <c r="C18" s="3"/>
      <c r="D18" s="3"/>
      <c r="E18" s="3"/>
      <c r="F18" s="5"/>
      <c r="G18" s="5"/>
      <c r="H18" s="5"/>
      <c r="I18" s="5"/>
      <c r="J18" s="5"/>
      <c r="K18" s="5"/>
      <c r="L18" s="5"/>
      <c r="M18" s="5"/>
      <c r="N18" s="5"/>
      <c r="O18" s="5"/>
      <c r="P18" s="5"/>
      <c r="Q18" s="5"/>
      <c r="S18" s="209" t="s">
        <v>12</v>
      </c>
      <c r="T18" s="209"/>
      <c r="U18" s="209"/>
      <c r="V18" s="209"/>
      <c r="W18" s="210"/>
      <c r="X18" s="211"/>
      <c r="Y18" s="212"/>
      <c r="Z18" s="212"/>
      <c r="AA18" s="212"/>
      <c r="AB18" s="212"/>
      <c r="AC18" s="212"/>
      <c r="AD18" s="212"/>
      <c r="AE18" s="212"/>
      <c r="AF18" s="212"/>
      <c r="AG18" s="212"/>
      <c r="AH18" s="213"/>
    </row>
    <row r="19" spans="1:34" ht="6" customHeight="1">
      <c r="A19" s="7"/>
    </row>
    <row r="20" spans="1:34">
      <c r="A20" s="214" t="s">
        <v>13</v>
      </c>
      <c r="B20" s="215"/>
      <c r="C20" s="215"/>
      <c r="D20" s="215"/>
      <c r="E20" s="215"/>
      <c r="F20" s="215"/>
      <c r="G20" s="215"/>
      <c r="H20" s="215"/>
      <c r="I20" s="215"/>
      <c r="J20" s="215"/>
      <c r="K20" s="215"/>
      <c r="L20" s="215"/>
      <c r="M20" s="215"/>
      <c r="N20" s="215"/>
      <c r="O20" s="215"/>
      <c r="P20" s="215"/>
      <c r="Q20" s="215"/>
      <c r="R20" s="215"/>
      <c r="S20" s="215"/>
      <c r="T20" s="215"/>
      <c r="U20" s="215"/>
      <c r="V20" s="216"/>
      <c r="W20" s="217" t="s">
        <v>14</v>
      </c>
      <c r="X20" s="215"/>
      <c r="Y20" s="215"/>
      <c r="Z20" s="215"/>
      <c r="AA20" s="215"/>
      <c r="AB20" s="215"/>
      <c r="AC20" s="215"/>
      <c r="AD20" s="215"/>
      <c r="AE20" s="215"/>
      <c r="AF20" s="215"/>
      <c r="AG20" s="215"/>
      <c r="AH20" s="218"/>
    </row>
    <row r="21" spans="1:34">
      <c r="A21" s="198" t="s">
        <v>15</v>
      </c>
      <c r="B21" s="199"/>
      <c r="C21" s="199"/>
      <c r="D21" s="199"/>
      <c r="E21" s="199"/>
      <c r="F21" s="199"/>
      <c r="G21" s="199"/>
      <c r="H21" s="199"/>
      <c r="I21" s="199"/>
      <c r="J21" s="199"/>
      <c r="K21" s="199"/>
      <c r="L21" s="199"/>
      <c r="M21" s="199"/>
      <c r="N21" s="199"/>
      <c r="O21" s="199"/>
      <c r="P21" s="199"/>
      <c r="Q21" s="199"/>
      <c r="R21" s="199"/>
      <c r="S21" s="199"/>
      <c r="T21" s="199"/>
      <c r="U21" s="199"/>
      <c r="V21" s="200"/>
      <c r="W21" s="6"/>
      <c r="X21" s="7"/>
      <c r="Y21" s="7"/>
      <c r="Z21" s="7"/>
      <c r="AA21" s="7"/>
      <c r="AB21" s="7"/>
      <c r="AC21" s="7"/>
      <c r="AD21" s="7"/>
      <c r="AE21" s="8"/>
      <c r="AF21" s="8"/>
      <c r="AG21" s="8"/>
      <c r="AH21" s="9"/>
    </row>
    <row r="22" spans="1:34">
      <c r="A22" s="10"/>
      <c r="B22" s="8"/>
      <c r="C22" s="8"/>
      <c r="D22" s="8"/>
      <c r="E22" s="8"/>
      <c r="F22" s="8"/>
      <c r="G22" s="8"/>
      <c r="H22" s="8"/>
      <c r="I22" s="8"/>
      <c r="J22" s="8"/>
      <c r="K22" s="8"/>
      <c r="L22" s="8"/>
      <c r="M22" s="106" t="s">
        <v>16</v>
      </c>
      <c r="N22" s="106"/>
      <c r="O22" s="106"/>
      <c r="P22" s="106"/>
      <c r="Q22" s="106"/>
      <c r="R22" s="8"/>
      <c r="S22" s="201" t="s">
        <v>17</v>
      </c>
      <c r="T22" s="201"/>
      <c r="U22" s="201"/>
      <c r="V22" s="202"/>
      <c r="W22" s="158" t="s">
        <v>18</v>
      </c>
      <c r="X22" s="129"/>
      <c r="Y22" s="129"/>
      <c r="Z22" s="129"/>
      <c r="AA22" s="129"/>
      <c r="AB22" s="129"/>
      <c r="AC22" s="159"/>
      <c r="AD22" s="14" t="s">
        <v>19</v>
      </c>
      <c r="AE22" s="143"/>
      <c r="AF22" s="143"/>
      <c r="AG22" s="143"/>
      <c r="AH22" s="144"/>
    </row>
    <row r="23" spans="1:34">
      <c r="A23" s="203" t="s">
        <v>20</v>
      </c>
      <c r="B23" s="204"/>
      <c r="C23" s="204"/>
      <c r="D23" s="204"/>
      <c r="E23" s="204"/>
      <c r="F23" s="204"/>
      <c r="G23" s="204"/>
      <c r="H23" s="204"/>
      <c r="I23" s="204"/>
      <c r="J23" s="204"/>
      <c r="K23" s="204"/>
      <c r="L23" s="205"/>
      <c r="M23" s="16" t="s">
        <v>19</v>
      </c>
      <c r="N23" s="143">
        <v>150000</v>
      </c>
      <c r="O23" s="143"/>
      <c r="P23" s="143"/>
      <c r="Q23" s="144"/>
      <c r="R23" s="16" t="s">
        <v>19</v>
      </c>
      <c r="S23" s="143"/>
      <c r="T23" s="143"/>
      <c r="U23" s="143"/>
      <c r="V23" s="197"/>
      <c r="W23" s="158" t="s">
        <v>21</v>
      </c>
      <c r="X23" s="129"/>
      <c r="Y23" s="129"/>
      <c r="Z23" s="129"/>
      <c r="AA23" s="129"/>
      <c r="AB23" s="129"/>
      <c r="AC23" s="159"/>
      <c r="AD23" s="16" t="s">
        <v>19</v>
      </c>
      <c r="AE23" s="143"/>
      <c r="AF23" s="143"/>
      <c r="AG23" s="143"/>
      <c r="AH23" s="144"/>
    </row>
    <row r="24" spans="1:34">
      <c r="A24" s="203" t="s">
        <v>22</v>
      </c>
      <c r="B24" s="204"/>
      <c r="C24" s="204"/>
      <c r="D24" s="204"/>
      <c r="E24" s="204"/>
      <c r="F24" s="204"/>
      <c r="G24" s="204"/>
      <c r="H24" s="204"/>
      <c r="I24" s="204"/>
      <c r="J24" s="204"/>
      <c r="K24" s="204"/>
      <c r="L24" s="205"/>
      <c r="M24" s="16" t="s">
        <v>19</v>
      </c>
      <c r="N24" s="143"/>
      <c r="O24" s="143"/>
      <c r="P24" s="143"/>
      <c r="Q24" s="144"/>
      <c r="R24" s="16" t="s">
        <v>19</v>
      </c>
      <c r="S24" s="143"/>
      <c r="T24" s="143"/>
      <c r="U24" s="143"/>
      <c r="V24" s="197"/>
      <c r="W24" s="158" t="s">
        <v>23</v>
      </c>
      <c r="X24" s="129"/>
      <c r="Y24" s="129"/>
      <c r="Z24" s="129"/>
      <c r="AA24" s="129"/>
      <c r="AB24" s="129"/>
      <c r="AC24" s="159"/>
      <c r="AD24" s="16" t="s">
        <v>19</v>
      </c>
      <c r="AE24" s="143"/>
      <c r="AF24" s="143"/>
      <c r="AG24" s="143"/>
      <c r="AH24" s="144"/>
    </row>
    <row r="25" spans="1:34">
      <c r="A25" s="203" t="s">
        <v>24</v>
      </c>
      <c r="B25" s="204"/>
      <c r="C25" s="204"/>
      <c r="D25" s="204"/>
      <c r="E25" s="204"/>
      <c r="F25" s="204"/>
      <c r="G25" s="204"/>
      <c r="H25" s="204"/>
      <c r="I25" s="204"/>
      <c r="J25" s="204"/>
      <c r="K25" s="204"/>
      <c r="L25" s="205"/>
      <c r="M25" s="17" t="s">
        <v>19</v>
      </c>
      <c r="N25" s="206"/>
      <c r="O25" s="206"/>
      <c r="P25" s="206"/>
      <c r="Q25" s="207"/>
      <c r="R25" s="17" t="s">
        <v>19</v>
      </c>
      <c r="S25" s="206"/>
      <c r="T25" s="206"/>
      <c r="U25" s="206"/>
      <c r="V25" s="208"/>
      <c r="W25" s="158" t="s">
        <v>25</v>
      </c>
      <c r="X25" s="129"/>
      <c r="Y25" s="129"/>
      <c r="Z25" s="129"/>
      <c r="AA25" s="129"/>
      <c r="AB25" s="129"/>
      <c r="AC25" s="159"/>
      <c r="AD25" s="16" t="s">
        <v>19</v>
      </c>
      <c r="AE25" s="143"/>
      <c r="AF25" s="143"/>
      <c r="AG25" s="143"/>
      <c r="AH25" s="144"/>
    </row>
    <row r="26" spans="1:34">
      <c r="A26" s="203" t="s">
        <v>26</v>
      </c>
      <c r="B26" s="204"/>
      <c r="C26" s="204"/>
      <c r="D26" s="204"/>
      <c r="E26" s="204"/>
      <c r="F26" s="204"/>
      <c r="G26" s="204"/>
      <c r="H26" s="204"/>
      <c r="I26" s="204"/>
      <c r="J26" s="204"/>
      <c r="K26" s="204"/>
      <c r="L26" s="205"/>
      <c r="M26" s="16" t="s">
        <v>19</v>
      </c>
      <c r="N26" s="143"/>
      <c r="O26" s="143"/>
      <c r="P26" s="143"/>
      <c r="Q26" s="144"/>
      <c r="R26" s="16" t="s">
        <v>19</v>
      </c>
      <c r="S26" s="143"/>
      <c r="T26" s="143"/>
      <c r="U26" s="143"/>
      <c r="V26" s="197"/>
      <c r="W26" s="158" t="s">
        <v>27</v>
      </c>
      <c r="X26" s="129"/>
      <c r="Y26" s="129"/>
      <c r="Z26" s="129"/>
      <c r="AA26" s="129"/>
      <c r="AB26" s="129"/>
      <c r="AC26" s="159"/>
      <c r="AD26" s="16" t="s">
        <v>19</v>
      </c>
      <c r="AE26" s="143"/>
      <c r="AF26" s="143"/>
      <c r="AG26" s="143"/>
      <c r="AH26" s="144"/>
    </row>
    <row r="27" spans="1:34">
      <c r="A27" s="179"/>
      <c r="B27" s="180"/>
      <c r="C27" s="180"/>
      <c r="D27" s="180"/>
      <c r="E27" s="180"/>
      <c r="F27" s="180"/>
      <c r="G27" s="180"/>
      <c r="H27" s="180"/>
      <c r="I27" s="180"/>
      <c r="J27" s="180"/>
      <c r="K27" s="180"/>
      <c r="L27" s="181"/>
      <c r="M27" s="18" t="s">
        <v>19</v>
      </c>
      <c r="N27" s="182"/>
      <c r="O27" s="182"/>
      <c r="P27" s="182"/>
      <c r="Q27" s="183"/>
      <c r="R27" s="16" t="s">
        <v>19</v>
      </c>
      <c r="S27" s="184"/>
      <c r="T27" s="184"/>
      <c r="U27" s="184"/>
      <c r="V27" s="185"/>
      <c r="W27" s="158" t="s">
        <v>256</v>
      </c>
      <c r="X27" s="129"/>
      <c r="Y27" s="129"/>
      <c r="Z27" s="129"/>
      <c r="AA27" s="129"/>
      <c r="AB27" s="129"/>
      <c r="AC27" s="159"/>
      <c r="AD27" s="16" t="s">
        <v>19</v>
      </c>
      <c r="AE27" s="143"/>
      <c r="AF27" s="143"/>
      <c r="AG27" s="143"/>
      <c r="AH27" s="144"/>
    </row>
    <row r="28" spans="1:34">
      <c r="A28" s="186" t="s">
        <v>28</v>
      </c>
      <c r="B28" s="187"/>
      <c r="C28" s="187"/>
      <c r="D28" s="187"/>
      <c r="E28" s="187"/>
      <c r="F28" s="187"/>
      <c r="G28" s="187"/>
      <c r="H28" s="187"/>
      <c r="I28" s="187"/>
      <c r="J28" s="187"/>
      <c r="K28" s="187"/>
      <c r="L28" s="188"/>
      <c r="M28" s="16" t="s">
        <v>19</v>
      </c>
      <c r="N28" s="149">
        <f>SUM(N23:Q27)</f>
        <v>150000</v>
      </c>
      <c r="O28" s="149"/>
      <c r="P28" s="149"/>
      <c r="Q28" s="150"/>
      <c r="R28" s="19" t="s">
        <v>19</v>
      </c>
      <c r="S28" s="149">
        <f>SUM(S23:V27)</f>
        <v>0</v>
      </c>
      <c r="T28" s="149"/>
      <c r="U28" s="149"/>
      <c r="V28" s="151"/>
      <c r="W28" s="135"/>
      <c r="X28" s="136"/>
      <c r="Y28" s="136"/>
      <c r="Z28" s="136"/>
      <c r="AA28" s="136"/>
      <c r="AB28" s="136"/>
      <c r="AC28" s="137"/>
      <c r="AD28" s="16" t="s">
        <v>19</v>
      </c>
      <c r="AE28" s="143"/>
      <c r="AF28" s="143"/>
      <c r="AG28" s="143"/>
      <c r="AH28" s="144"/>
    </row>
    <row r="29" spans="1:34">
      <c r="A29" s="152" t="s">
        <v>29</v>
      </c>
      <c r="B29" s="153"/>
      <c r="C29" s="153"/>
      <c r="D29" s="153"/>
      <c r="E29" s="153"/>
      <c r="F29" s="153"/>
      <c r="G29" s="153"/>
      <c r="H29" s="153"/>
      <c r="I29" s="153"/>
      <c r="J29" s="153"/>
      <c r="K29" s="153"/>
      <c r="L29" s="153"/>
      <c r="M29" s="153"/>
      <c r="N29" s="153"/>
      <c r="O29" s="153"/>
      <c r="P29" s="153"/>
      <c r="Q29" s="153"/>
      <c r="R29" s="153"/>
      <c r="S29" s="153"/>
      <c r="T29" s="153"/>
      <c r="U29" s="153"/>
      <c r="V29" s="154"/>
      <c r="W29" s="135"/>
      <c r="X29" s="136"/>
      <c r="Y29" s="136"/>
      <c r="Z29" s="136"/>
      <c r="AA29" s="136"/>
      <c r="AB29" s="136"/>
      <c r="AC29" s="137"/>
      <c r="AD29" s="16" t="s">
        <v>19</v>
      </c>
      <c r="AE29" s="143"/>
      <c r="AF29" s="143"/>
      <c r="AG29" s="143"/>
      <c r="AH29" s="144"/>
    </row>
    <row r="30" spans="1:34">
      <c r="A30" s="163" t="s">
        <v>30</v>
      </c>
      <c r="B30" s="164"/>
      <c r="C30" s="164"/>
      <c r="D30" s="164"/>
      <c r="E30" s="164"/>
      <c r="F30" s="164"/>
      <c r="G30" s="164"/>
      <c r="H30" s="164"/>
      <c r="I30" s="164"/>
      <c r="J30" s="164"/>
      <c r="K30" s="164"/>
      <c r="L30" s="164"/>
      <c r="M30" s="164"/>
      <c r="N30" s="164"/>
      <c r="O30" s="164"/>
      <c r="P30" s="164"/>
      <c r="Q30" s="164"/>
      <c r="R30" s="164"/>
      <c r="S30" s="164"/>
      <c r="T30" s="164"/>
      <c r="U30" s="164"/>
      <c r="V30" s="165"/>
      <c r="W30" s="160" t="s">
        <v>28</v>
      </c>
      <c r="X30" s="161"/>
      <c r="Y30" s="161"/>
      <c r="Z30" s="161"/>
      <c r="AA30" s="161"/>
      <c r="AB30" s="161"/>
      <c r="AC30" s="162"/>
      <c r="AD30" s="16" t="s">
        <v>19</v>
      </c>
      <c r="AE30" s="149">
        <f>SUM(AE22:AH29)</f>
        <v>0</v>
      </c>
      <c r="AF30" s="149"/>
      <c r="AG30" s="149"/>
      <c r="AH30" s="150"/>
    </row>
    <row r="31" spans="1:34" ht="3" customHeight="1">
      <c r="A31" s="20"/>
      <c r="B31" s="20"/>
      <c r="C31" s="20"/>
      <c r="D31" s="20"/>
      <c r="E31" s="20"/>
      <c r="F31" s="20"/>
      <c r="G31" s="20"/>
      <c r="H31" s="20"/>
      <c r="I31" s="20"/>
      <c r="J31" s="20"/>
      <c r="K31" s="20"/>
      <c r="L31" s="20"/>
      <c r="M31" s="20"/>
      <c r="N31" s="20"/>
      <c r="O31" s="20"/>
      <c r="P31" s="20"/>
      <c r="Q31" s="20"/>
      <c r="R31" s="41"/>
      <c r="S31" s="41"/>
      <c r="T31" s="41"/>
      <c r="U31" s="41"/>
      <c r="V31" s="41"/>
      <c r="W31" s="41"/>
      <c r="X31" s="41"/>
      <c r="Y31" s="41"/>
      <c r="Z31" s="41"/>
      <c r="AA31" s="41"/>
      <c r="AB31" s="41"/>
      <c r="AC31" s="41"/>
      <c r="AD31" s="41"/>
      <c r="AE31" s="41"/>
      <c r="AF31" s="41"/>
      <c r="AG31" s="41"/>
      <c r="AH31" s="41"/>
    </row>
    <row r="32" spans="1:34" ht="15" customHeight="1" thickBot="1">
      <c r="A32" s="155" t="s">
        <v>31</v>
      </c>
      <c r="B32" s="156"/>
      <c r="C32" s="156"/>
      <c r="D32" s="156"/>
      <c r="E32" s="156"/>
      <c r="F32" s="156"/>
      <c r="G32" s="156"/>
      <c r="H32" s="156"/>
      <c r="I32" s="156"/>
      <c r="J32" s="156"/>
      <c r="K32" s="156"/>
      <c r="L32" s="156"/>
      <c r="M32" s="156"/>
      <c r="N32" s="156"/>
      <c r="O32" s="156"/>
      <c r="P32" s="156"/>
      <c r="Q32" s="156"/>
      <c r="R32" s="156"/>
      <c r="S32" s="156"/>
      <c r="T32" s="156"/>
      <c r="U32" s="156"/>
      <c r="V32" s="156"/>
      <c r="W32" s="156"/>
      <c r="X32" s="156"/>
      <c r="Y32" s="156"/>
      <c r="Z32" s="156"/>
      <c r="AA32" s="156"/>
      <c r="AB32" s="156"/>
      <c r="AC32" s="156"/>
      <c r="AD32" s="156"/>
      <c r="AE32" s="156"/>
      <c r="AF32" s="156"/>
      <c r="AG32" s="156"/>
      <c r="AH32" s="157"/>
    </row>
    <row r="33" spans="1:34" ht="12.75" customHeight="1" thickBot="1">
      <c r="A33" s="10"/>
      <c r="B33" s="145" t="s">
        <v>32</v>
      </c>
      <c r="C33" s="145"/>
      <c r="D33" s="145"/>
      <c r="E33" s="145"/>
      <c r="F33" s="145"/>
      <c r="G33" s="145"/>
      <c r="H33" s="145"/>
      <c r="I33" s="145"/>
      <c r="J33" s="145"/>
      <c r="K33" s="145"/>
      <c r="L33" s="145"/>
      <c r="M33" s="146"/>
      <c r="N33" s="74"/>
      <c r="O33" s="75" t="s">
        <v>33</v>
      </c>
      <c r="P33" s="75"/>
      <c r="Q33" s="74" t="s">
        <v>226</v>
      </c>
      <c r="R33" s="75" t="s">
        <v>216</v>
      </c>
      <c r="T33" s="77"/>
      <c r="U33" s="79"/>
      <c r="V33" s="21" t="s">
        <v>204</v>
      </c>
      <c r="W33" s="21"/>
      <c r="X33" s="21"/>
      <c r="Y33" s="21"/>
      <c r="Z33" s="21"/>
      <c r="AA33" s="21"/>
      <c r="AB33" s="54"/>
      <c r="AC33" s="54"/>
      <c r="AD33" s="55"/>
      <c r="AE33" s="67"/>
      <c r="AF33" s="67"/>
      <c r="AG33" s="67"/>
      <c r="AH33" s="68"/>
    </row>
    <row r="34" spans="1:34" ht="7.5" customHeight="1" thickBot="1">
      <c r="A34" s="138"/>
      <c r="B34" s="139"/>
      <c r="C34" s="139"/>
      <c r="D34" s="139"/>
      <c r="E34" s="139"/>
      <c r="F34" s="139"/>
      <c r="G34" s="139"/>
      <c r="H34" s="139"/>
      <c r="I34" s="139"/>
      <c r="J34" s="139"/>
      <c r="K34" s="139"/>
      <c r="L34" s="139"/>
      <c r="M34" s="139"/>
      <c r="N34" s="139"/>
      <c r="O34" s="139"/>
      <c r="P34" s="139"/>
      <c r="Q34" s="139"/>
      <c r="R34" s="139"/>
      <c r="S34" s="139"/>
      <c r="T34" s="139"/>
      <c r="U34" s="75"/>
      <c r="V34" s="21"/>
      <c r="W34" s="21"/>
      <c r="X34" s="21"/>
      <c r="Y34" s="21"/>
      <c r="Z34" s="21"/>
      <c r="AA34" s="21"/>
      <c r="AB34" s="21"/>
      <c r="AC34" s="21"/>
      <c r="AD34" s="21"/>
      <c r="AE34" s="21"/>
      <c r="AF34" s="21"/>
      <c r="AG34" s="21"/>
      <c r="AH34" s="52"/>
    </row>
    <row r="35" spans="1:34" ht="12.75" customHeight="1" thickBot="1">
      <c r="A35" s="10"/>
      <c r="B35" s="145" t="s">
        <v>34</v>
      </c>
      <c r="C35" s="145"/>
      <c r="D35" s="145"/>
      <c r="E35" s="145"/>
      <c r="F35" s="145"/>
      <c r="G35" s="145"/>
      <c r="H35" s="145"/>
      <c r="I35" s="145"/>
      <c r="J35" s="145"/>
      <c r="K35" s="145"/>
      <c r="L35" s="145"/>
      <c r="M35" s="146"/>
      <c r="N35" s="74" t="s">
        <v>226</v>
      </c>
      <c r="O35" s="76" t="s">
        <v>33</v>
      </c>
      <c r="P35" s="76"/>
      <c r="Q35" s="74"/>
      <c r="R35" s="76" t="s">
        <v>205</v>
      </c>
      <c r="S35" s="76"/>
      <c r="T35" s="76"/>
      <c r="U35" s="75"/>
      <c r="V35" s="21"/>
      <c r="W35" s="21"/>
      <c r="X35" s="21"/>
      <c r="Y35" s="21"/>
      <c r="Z35" s="21"/>
      <c r="AA35" s="21"/>
      <c r="AB35" s="21"/>
      <c r="AC35" s="21"/>
      <c r="AD35" s="55"/>
      <c r="AE35" s="67"/>
      <c r="AF35" s="67"/>
      <c r="AG35" s="67"/>
      <c r="AH35" s="68"/>
    </row>
    <row r="36" spans="1:34" ht="7.5" customHeight="1" thickBot="1">
      <c r="A36" s="138"/>
      <c r="B36" s="139"/>
      <c r="C36" s="139"/>
      <c r="D36" s="139"/>
      <c r="E36" s="139"/>
      <c r="F36" s="139"/>
      <c r="G36" s="139"/>
      <c r="H36" s="139"/>
      <c r="I36" s="139"/>
      <c r="J36" s="139"/>
      <c r="K36" s="139"/>
      <c r="L36" s="139"/>
      <c r="M36" s="139"/>
      <c r="N36" s="139"/>
      <c r="O36" s="139"/>
      <c r="P36" s="139"/>
      <c r="Q36" s="139"/>
      <c r="R36" s="139"/>
      <c r="S36" s="139"/>
      <c r="T36" s="139"/>
      <c r="U36" s="75"/>
      <c r="V36" s="21"/>
      <c r="W36" s="21"/>
      <c r="X36" s="21"/>
      <c r="Y36" s="21"/>
      <c r="Z36" s="21"/>
      <c r="AA36" s="21"/>
      <c r="AB36" s="21"/>
      <c r="AC36" s="21"/>
      <c r="AD36" s="21"/>
      <c r="AE36" s="21"/>
      <c r="AF36" s="21"/>
      <c r="AG36" s="21"/>
      <c r="AH36" s="52"/>
    </row>
    <row r="37" spans="1:34" ht="13.5" thickBot="1">
      <c r="A37" s="10"/>
      <c r="B37" s="81" t="s">
        <v>35</v>
      </c>
      <c r="C37" s="81"/>
      <c r="D37" s="81"/>
      <c r="E37" s="81"/>
      <c r="F37" s="81"/>
      <c r="G37" s="81"/>
      <c r="H37" s="81"/>
      <c r="I37" s="81"/>
      <c r="J37" s="81"/>
      <c r="K37" s="81"/>
      <c r="L37" s="81"/>
      <c r="M37" s="82"/>
      <c r="N37" s="74" t="s">
        <v>226</v>
      </c>
      <c r="O37" s="75" t="s">
        <v>33</v>
      </c>
      <c r="P37" s="75"/>
      <c r="Q37" s="74"/>
      <c r="R37" s="75" t="s">
        <v>206</v>
      </c>
      <c r="S37" s="77"/>
      <c r="T37" s="78"/>
      <c r="U37" s="77"/>
      <c r="V37" s="23"/>
      <c r="W37" s="23"/>
      <c r="X37" s="23"/>
      <c r="Y37" s="23"/>
      <c r="Z37" s="23"/>
      <c r="AA37" s="23"/>
      <c r="AB37" s="23"/>
      <c r="AC37" s="23"/>
      <c r="AD37" s="55"/>
      <c r="AE37" s="67"/>
      <c r="AF37" s="67"/>
      <c r="AG37" s="67"/>
      <c r="AH37" s="68"/>
    </row>
    <row r="38" spans="1:34" ht="7.5" customHeight="1">
      <c r="A38" s="26"/>
      <c r="B38" s="27"/>
      <c r="C38" s="27"/>
      <c r="D38" s="27"/>
      <c r="E38" s="27"/>
      <c r="F38" s="27"/>
      <c r="G38" s="27"/>
      <c r="H38" s="27"/>
      <c r="I38" s="27"/>
      <c r="J38" s="27"/>
      <c r="K38" s="27"/>
      <c r="L38" s="27"/>
      <c r="M38" s="27"/>
      <c r="N38" s="27"/>
      <c r="O38" s="27"/>
      <c r="P38" s="27"/>
      <c r="Q38" s="27"/>
      <c r="R38" s="27"/>
      <c r="S38" s="27"/>
      <c r="T38" s="27"/>
      <c r="U38" s="11"/>
      <c r="V38" s="11"/>
      <c r="W38" s="11"/>
      <c r="X38" s="11"/>
      <c r="Y38" s="11"/>
      <c r="Z38" s="11"/>
      <c r="AA38" s="11"/>
      <c r="AB38" s="11"/>
      <c r="AC38" s="11"/>
      <c r="AD38" s="27"/>
      <c r="AE38" s="27"/>
      <c r="AF38" s="27"/>
      <c r="AG38" s="27"/>
      <c r="AH38" s="28"/>
    </row>
    <row r="39" spans="1:34" ht="12.75" customHeight="1" thickBot="1">
      <c r="A39" s="53"/>
      <c r="B39" s="53"/>
      <c r="C39" s="53"/>
      <c r="D39" s="53"/>
      <c r="E39" s="53"/>
      <c r="F39" s="53"/>
      <c r="G39" s="53"/>
      <c r="H39" s="53"/>
      <c r="I39" s="53"/>
      <c r="J39" s="53"/>
      <c r="K39" s="53"/>
      <c r="L39" s="53"/>
      <c r="M39" s="53"/>
      <c r="N39" s="53"/>
      <c r="O39" s="53"/>
      <c r="P39" s="53"/>
      <c r="Q39" s="53"/>
      <c r="R39" s="53"/>
      <c r="S39" s="53"/>
      <c r="T39" s="53"/>
      <c r="U39" s="12"/>
      <c r="V39" s="12"/>
      <c r="W39" s="12"/>
      <c r="X39" s="12"/>
      <c r="Y39" s="12"/>
      <c r="Z39" s="12"/>
      <c r="AA39" s="12"/>
      <c r="AB39" s="12"/>
      <c r="AC39" s="12"/>
      <c r="AD39" s="53"/>
      <c r="AE39" s="53"/>
      <c r="AF39" s="53"/>
      <c r="AG39" s="53"/>
      <c r="AH39" s="53"/>
    </row>
    <row r="40" spans="1:34" ht="19.5" customHeight="1" thickBot="1">
      <c r="A40" s="95" t="s">
        <v>218</v>
      </c>
      <c r="B40" s="96"/>
      <c r="C40" s="96"/>
      <c r="D40" s="96"/>
      <c r="E40" s="96"/>
      <c r="F40" s="96"/>
      <c r="G40" s="96"/>
      <c r="H40" s="96"/>
      <c r="I40" s="96"/>
      <c r="J40" s="96"/>
      <c r="K40" s="96"/>
      <c r="L40" s="96"/>
      <c r="M40" s="96"/>
      <c r="N40" s="96"/>
      <c r="O40" s="96"/>
      <c r="P40" s="96"/>
      <c r="Q40" s="96"/>
      <c r="R40" s="96"/>
      <c r="S40" s="96"/>
      <c r="T40" s="96"/>
      <c r="U40" s="96"/>
      <c r="V40" s="96"/>
      <c r="W40" s="96"/>
      <c r="X40" s="96"/>
      <c r="Y40" s="96"/>
      <c r="Z40" s="96"/>
      <c r="AA40" s="96"/>
      <c r="AB40" s="96"/>
      <c r="AC40" s="96"/>
      <c r="AD40" s="96"/>
      <c r="AE40" s="96"/>
      <c r="AF40" s="96"/>
      <c r="AG40" s="96"/>
      <c r="AH40" s="97"/>
    </row>
    <row r="41" spans="1:34">
      <c r="Z41" s="1"/>
    </row>
    <row r="42" spans="1:34">
      <c r="A42" s="140" t="s">
        <v>36</v>
      </c>
      <c r="B42" s="140"/>
      <c r="C42" s="140"/>
      <c r="D42" s="140"/>
      <c r="E42" s="140"/>
      <c r="F42" s="140"/>
      <c r="G42" s="140"/>
      <c r="H42" s="140"/>
      <c r="I42" s="140"/>
      <c r="J42" s="140"/>
      <c r="K42" s="140"/>
      <c r="L42" s="140"/>
      <c r="M42" s="140"/>
      <c r="N42" s="140"/>
      <c r="O42" s="140"/>
      <c r="P42" s="140"/>
      <c r="Q42" s="140"/>
      <c r="R42" s="140"/>
      <c r="S42" s="140"/>
      <c r="T42" s="140"/>
      <c r="U42" s="140"/>
      <c r="V42" s="140"/>
      <c r="W42" s="140"/>
      <c r="X42" s="140"/>
      <c r="Y42" s="140"/>
      <c r="Z42" s="140"/>
      <c r="AA42" s="140"/>
      <c r="AB42" s="140"/>
      <c r="AC42" s="140"/>
      <c r="AD42" s="140"/>
      <c r="AE42" s="140"/>
      <c r="AF42" s="140"/>
      <c r="AG42" s="140"/>
      <c r="AH42" s="140"/>
    </row>
    <row r="43" spans="1:34">
      <c r="A43" s="193" t="s">
        <v>37</v>
      </c>
      <c r="B43" s="106"/>
      <c r="C43" s="106"/>
      <c r="D43" s="106"/>
      <c r="E43" s="106"/>
      <c r="F43" s="106"/>
      <c r="G43" s="106"/>
      <c r="H43" s="106"/>
      <c r="I43" s="106"/>
      <c r="J43" s="106"/>
      <c r="K43" s="106"/>
      <c r="L43" s="106"/>
      <c r="M43" s="106"/>
      <c r="N43" s="106"/>
      <c r="O43" s="106"/>
      <c r="P43" s="106"/>
      <c r="Q43" s="194"/>
      <c r="R43" s="106" t="s">
        <v>38</v>
      </c>
      <c r="S43" s="106"/>
      <c r="T43" s="106"/>
      <c r="U43" s="106"/>
      <c r="V43" s="106"/>
      <c r="W43" s="106"/>
      <c r="X43" s="106"/>
      <c r="Y43" s="106"/>
      <c r="Z43" s="106"/>
      <c r="AA43" s="106"/>
      <c r="AB43" s="106"/>
      <c r="AC43" s="106"/>
      <c r="AD43" s="106"/>
      <c r="AE43" s="106"/>
      <c r="AF43" s="106"/>
      <c r="AG43" s="106"/>
      <c r="AH43" s="107"/>
    </row>
    <row r="44" spans="1:34">
      <c r="A44" s="29">
        <v>1</v>
      </c>
      <c r="B44" s="129" t="s">
        <v>39</v>
      </c>
      <c r="C44" s="129"/>
      <c r="D44" s="129"/>
      <c r="E44" s="129"/>
      <c r="F44" s="129"/>
      <c r="G44" s="129"/>
      <c r="H44" s="129"/>
      <c r="I44" s="129"/>
      <c r="J44" s="129"/>
      <c r="K44" s="126" t="s">
        <v>54</v>
      </c>
      <c r="L44" s="127"/>
      <c r="M44" s="18" t="s">
        <v>19</v>
      </c>
      <c r="N44" s="195">
        <v>62000</v>
      </c>
      <c r="O44" s="195"/>
      <c r="P44" s="195"/>
      <c r="Q44" s="196"/>
      <c r="R44" s="13">
        <v>16</v>
      </c>
      <c r="S44" s="129" t="s">
        <v>55</v>
      </c>
      <c r="T44" s="129"/>
      <c r="U44" s="129"/>
      <c r="V44" s="129"/>
      <c r="W44" s="129"/>
      <c r="X44" s="129"/>
      <c r="Y44" s="129"/>
      <c r="Z44" s="129"/>
      <c r="AA44" s="129"/>
      <c r="AB44" s="126" t="s">
        <v>178</v>
      </c>
      <c r="AC44" s="127"/>
      <c r="AD44" s="19" t="s">
        <v>19</v>
      </c>
      <c r="AE44" s="130">
        <v>0</v>
      </c>
      <c r="AF44" s="130"/>
      <c r="AG44" s="130"/>
      <c r="AH44" s="131"/>
    </row>
    <row r="45" spans="1:34">
      <c r="A45" s="29">
        <v>2</v>
      </c>
      <c r="B45" s="129" t="s">
        <v>40</v>
      </c>
      <c r="C45" s="129"/>
      <c r="D45" s="129"/>
      <c r="E45" s="129"/>
      <c r="F45" s="129"/>
      <c r="G45" s="129"/>
      <c r="H45" s="129"/>
      <c r="I45" s="129"/>
      <c r="J45" s="129"/>
      <c r="K45" s="126" t="s">
        <v>87</v>
      </c>
      <c r="L45" s="127"/>
      <c r="M45" s="16" t="s">
        <v>19</v>
      </c>
      <c r="N45" s="130">
        <f>M82</f>
        <v>0</v>
      </c>
      <c r="O45" s="130"/>
      <c r="P45" s="130"/>
      <c r="Q45" s="134"/>
      <c r="R45" s="13">
        <v>17</v>
      </c>
      <c r="S45" s="129" t="s">
        <v>56</v>
      </c>
      <c r="T45" s="129"/>
      <c r="U45" s="129"/>
      <c r="V45" s="129"/>
      <c r="W45" s="129"/>
      <c r="X45" s="129"/>
      <c r="Y45" s="129"/>
      <c r="Z45" s="129"/>
      <c r="AA45" s="129"/>
      <c r="AB45" s="126" t="s">
        <v>180</v>
      </c>
      <c r="AC45" s="127"/>
      <c r="AD45" s="19" t="s">
        <v>19</v>
      </c>
      <c r="AE45" s="130">
        <f>N165</f>
        <v>0</v>
      </c>
      <c r="AF45" s="130"/>
      <c r="AG45" s="130"/>
      <c r="AH45" s="131"/>
    </row>
    <row r="46" spans="1:34">
      <c r="A46" s="29">
        <v>3</v>
      </c>
      <c r="B46" s="129" t="s">
        <v>41</v>
      </c>
      <c r="C46" s="129"/>
      <c r="D46" s="129"/>
      <c r="E46" s="129"/>
      <c r="F46" s="129"/>
      <c r="G46" s="129"/>
      <c r="H46" s="129"/>
      <c r="I46" s="129"/>
      <c r="J46" s="129"/>
      <c r="K46" s="126" t="s">
        <v>99</v>
      </c>
      <c r="L46" s="127"/>
      <c r="M46" s="14" t="s">
        <v>19</v>
      </c>
      <c r="N46" s="173">
        <f>R95</f>
        <v>0</v>
      </c>
      <c r="O46" s="173"/>
      <c r="P46" s="173"/>
      <c r="Q46" s="174"/>
      <c r="R46" s="13">
        <v>18</v>
      </c>
      <c r="S46" s="129" t="s">
        <v>57</v>
      </c>
      <c r="T46" s="129"/>
      <c r="U46" s="129"/>
      <c r="V46" s="129"/>
      <c r="W46" s="129"/>
      <c r="X46" s="129"/>
      <c r="Y46" s="129"/>
      <c r="Z46" s="129"/>
      <c r="AA46" s="129"/>
      <c r="AB46" s="126" t="s">
        <v>180</v>
      </c>
      <c r="AC46" s="127"/>
      <c r="AD46" s="19" t="s">
        <v>19</v>
      </c>
      <c r="AE46" s="130">
        <f>R165</f>
        <v>0</v>
      </c>
      <c r="AF46" s="130"/>
      <c r="AG46" s="130"/>
      <c r="AH46" s="131"/>
    </row>
    <row r="47" spans="1:34">
      <c r="A47" s="29">
        <v>4</v>
      </c>
      <c r="B47" s="129" t="s">
        <v>42</v>
      </c>
      <c r="C47" s="129"/>
      <c r="D47" s="129"/>
      <c r="E47" s="129"/>
      <c r="F47" s="129"/>
      <c r="G47" s="129"/>
      <c r="H47" s="129"/>
      <c r="I47" s="129"/>
      <c r="J47" s="129"/>
      <c r="K47" s="126" t="s">
        <v>99</v>
      </c>
      <c r="L47" s="127"/>
      <c r="M47" s="16" t="s">
        <v>19</v>
      </c>
      <c r="N47" s="130">
        <f>V95</f>
        <v>0</v>
      </c>
      <c r="O47" s="130"/>
      <c r="P47" s="130"/>
      <c r="Q47" s="134"/>
      <c r="R47" s="13">
        <v>19</v>
      </c>
      <c r="S47" s="129" t="s">
        <v>58</v>
      </c>
      <c r="T47" s="129"/>
      <c r="U47" s="129"/>
      <c r="V47" s="129"/>
      <c r="W47" s="129"/>
      <c r="X47" s="129"/>
      <c r="Y47" s="129"/>
      <c r="Z47" s="129"/>
      <c r="AA47" s="129"/>
      <c r="AB47" s="126" t="s">
        <v>180</v>
      </c>
      <c r="AC47" s="127"/>
      <c r="AD47" s="19" t="s">
        <v>19</v>
      </c>
      <c r="AE47" s="130">
        <f>V165</f>
        <v>0</v>
      </c>
      <c r="AF47" s="130"/>
      <c r="AG47" s="130"/>
      <c r="AH47" s="131"/>
    </row>
    <row r="48" spans="1:34">
      <c r="A48" s="29">
        <v>5</v>
      </c>
      <c r="B48" s="129" t="s">
        <v>43</v>
      </c>
      <c r="C48" s="129"/>
      <c r="D48" s="129"/>
      <c r="E48" s="129"/>
      <c r="F48" s="129"/>
      <c r="G48" s="129"/>
      <c r="H48" s="129"/>
      <c r="I48" s="129"/>
      <c r="J48" s="129"/>
      <c r="K48" s="126" t="s">
        <v>111</v>
      </c>
      <c r="L48" s="127"/>
      <c r="M48" s="16" t="s">
        <v>19</v>
      </c>
      <c r="N48" s="130">
        <f>O104</f>
        <v>57600</v>
      </c>
      <c r="O48" s="130"/>
      <c r="P48" s="130"/>
      <c r="Q48" s="134"/>
      <c r="R48" s="13">
        <v>20</v>
      </c>
      <c r="S48" s="129" t="s">
        <v>59</v>
      </c>
      <c r="T48" s="129"/>
      <c r="U48" s="129"/>
      <c r="V48" s="129"/>
      <c r="W48" s="129"/>
      <c r="X48" s="129"/>
      <c r="Y48" s="129"/>
      <c r="Z48" s="129"/>
      <c r="AA48" s="129"/>
      <c r="AB48" s="126" t="s">
        <v>193</v>
      </c>
      <c r="AC48" s="127"/>
      <c r="AD48" s="19" t="s">
        <v>19</v>
      </c>
      <c r="AE48" s="130">
        <f>S177+W177</f>
        <v>0</v>
      </c>
      <c r="AF48" s="130"/>
      <c r="AG48" s="130"/>
      <c r="AH48" s="131"/>
    </row>
    <row r="49" spans="1:34">
      <c r="A49" s="29">
        <v>6</v>
      </c>
      <c r="B49" s="136" t="s">
        <v>44</v>
      </c>
      <c r="C49" s="136"/>
      <c r="D49" s="136"/>
      <c r="E49" s="136"/>
      <c r="F49" s="136"/>
      <c r="G49" s="136"/>
      <c r="H49" s="136"/>
      <c r="I49" s="136"/>
      <c r="J49" s="136"/>
      <c r="K49" s="126" t="s">
        <v>177</v>
      </c>
      <c r="L49" s="127"/>
      <c r="M49" s="16" t="s">
        <v>19</v>
      </c>
      <c r="N49" s="244">
        <v>106000</v>
      </c>
      <c r="O49" s="87"/>
      <c r="P49" s="87"/>
      <c r="Q49" s="87"/>
      <c r="R49" s="13">
        <v>21</v>
      </c>
      <c r="S49" s="129" t="s">
        <v>60</v>
      </c>
      <c r="T49" s="129"/>
      <c r="U49" s="129"/>
      <c r="V49" s="129"/>
      <c r="W49" s="129"/>
      <c r="X49" s="129"/>
      <c r="Y49" s="129"/>
      <c r="Z49" s="129"/>
      <c r="AA49" s="129"/>
      <c r="AB49" s="126" t="s">
        <v>193</v>
      </c>
      <c r="AC49" s="127"/>
      <c r="AD49" s="19" t="s">
        <v>19</v>
      </c>
      <c r="AE49" s="130">
        <f>AA177</f>
        <v>0</v>
      </c>
      <c r="AF49" s="130"/>
      <c r="AG49" s="130"/>
      <c r="AH49" s="131"/>
    </row>
    <row r="50" spans="1:34">
      <c r="A50" s="29">
        <v>7</v>
      </c>
      <c r="B50" s="141" t="s">
        <v>45</v>
      </c>
      <c r="C50" s="141"/>
      <c r="D50" s="141"/>
      <c r="E50" s="141"/>
      <c r="F50" s="141"/>
      <c r="G50" s="141"/>
      <c r="H50" s="141"/>
      <c r="I50" s="141"/>
      <c r="J50" s="141"/>
      <c r="K50" s="141"/>
      <c r="L50" s="142"/>
      <c r="M50" s="30" t="s">
        <v>19</v>
      </c>
      <c r="N50" s="132">
        <f>SUM(N44:Q49)</f>
        <v>225600</v>
      </c>
      <c r="O50" s="132"/>
      <c r="P50" s="132"/>
      <c r="Q50" s="172"/>
      <c r="R50" s="13">
        <v>22</v>
      </c>
      <c r="S50" s="129" t="s">
        <v>61</v>
      </c>
      <c r="T50" s="129"/>
      <c r="U50" s="129"/>
      <c r="V50" s="129"/>
      <c r="W50" s="129"/>
      <c r="X50" s="129"/>
      <c r="Y50" s="129"/>
      <c r="Z50" s="129"/>
      <c r="AA50" s="129"/>
      <c r="AB50" s="126" t="s">
        <v>87</v>
      </c>
      <c r="AC50" s="127"/>
      <c r="AD50" s="19" t="s">
        <v>19</v>
      </c>
      <c r="AE50" s="130">
        <f>R82</f>
        <v>0</v>
      </c>
      <c r="AF50" s="130"/>
      <c r="AG50" s="130"/>
      <c r="AH50" s="131"/>
    </row>
    <row r="51" spans="1:34">
      <c r="A51" s="29">
        <v>8</v>
      </c>
      <c r="B51" s="129" t="s">
        <v>46</v>
      </c>
      <c r="C51" s="129"/>
      <c r="D51" s="129"/>
      <c r="E51" s="129"/>
      <c r="F51" s="129"/>
      <c r="G51" s="129"/>
      <c r="H51" s="129"/>
      <c r="I51" s="129"/>
      <c r="J51" s="129"/>
      <c r="K51" s="126" t="s">
        <v>126</v>
      </c>
      <c r="L51" s="127"/>
      <c r="M51" s="16" t="s">
        <v>19</v>
      </c>
      <c r="N51" s="130">
        <f>T114</f>
        <v>856000</v>
      </c>
      <c r="O51" s="130"/>
      <c r="P51" s="130"/>
      <c r="Q51" s="134"/>
      <c r="R51" s="13">
        <v>23</v>
      </c>
      <c r="S51" s="129" t="s">
        <v>62</v>
      </c>
      <c r="T51" s="129"/>
      <c r="U51" s="129"/>
      <c r="V51" s="129"/>
      <c r="W51" s="129"/>
      <c r="X51" s="129"/>
      <c r="Y51" s="129"/>
      <c r="Z51" s="129"/>
      <c r="AA51" s="129"/>
      <c r="AB51" s="126" t="s">
        <v>180</v>
      </c>
      <c r="AC51" s="127"/>
      <c r="AD51" s="19" t="s">
        <v>19</v>
      </c>
      <c r="AE51" s="130">
        <f>Z165</f>
        <v>0</v>
      </c>
      <c r="AF51" s="130"/>
      <c r="AG51" s="130"/>
      <c r="AH51" s="131"/>
    </row>
    <row r="52" spans="1:34">
      <c r="A52" s="29">
        <v>9</v>
      </c>
      <c r="B52" s="129" t="s">
        <v>47</v>
      </c>
      <c r="C52" s="129"/>
      <c r="D52" s="129"/>
      <c r="E52" s="129"/>
      <c r="F52" s="129"/>
      <c r="G52" s="129"/>
      <c r="H52" s="129"/>
      <c r="I52" s="129"/>
      <c r="J52" s="129"/>
      <c r="K52" s="126" t="s">
        <v>135</v>
      </c>
      <c r="L52" s="127"/>
      <c r="M52" s="16" t="s">
        <v>19</v>
      </c>
      <c r="N52" s="130">
        <f>AE124</f>
        <v>0</v>
      </c>
      <c r="O52" s="130"/>
      <c r="P52" s="130"/>
      <c r="Q52" s="134"/>
      <c r="R52" s="13">
        <v>24</v>
      </c>
      <c r="S52" s="24" t="s">
        <v>63</v>
      </c>
      <c r="T52" s="24"/>
      <c r="U52" s="24"/>
      <c r="V52" s="24"/>
      <c r="W52" s="24"/>
      <c r="X52" s="24"/>
      <c r="Y52" s="24"/>
      <c r="Z52" s="24"/>
      <c r="AA52" s="24"/>
      <c r="AB52" s="24"/>
      <c r="AC52" s="25"/>
      <c r="AD52" s="19" t="s">
        <v>19</v>
      </c>
      <c r="AE52" s="132">
        <f>SUM(AE44:AH51)</f>
        <v>0</v>
      </c>
      <c r="AF52" s="132"/>
      <c r="AG52" s="132"/>
      <c r="AH52" s="133"/>
    </row>
    <row r="53" spans="1:34">
      <c r="A53" s="29">
        <v>10</v>
      </c>
      <c r="B53" s="136" t="s">
        <v>48</v>
      </c>
      <c r="C53" s="136"/>
      <c r="D53" s="136"/>
      <c r="E53" s="136"/>
      <c r="F53" s="136"/>
      <c r="G53" s="136"/>
      <c r="H53" s="136"/>
      <c r="I53" s="136"/>
      <c r="J53" s="136"/>
      <c r="K53" s="126" t="s">
        <v>111</v>
      </c>
      <c r="L53" s="127"/>
      <c r="M53" s="16" t="s">
        <v>19</v>
      </c>
      <c r="N53" s="130">
        <f>S104</f>
        <v>0</v>
      </c>
      <c r="O53" s="130"/>
      <c r="P53" s="130"/>
      <c r="Q53" s="134"/>
      <c r="R53" s="13">
        <v>25</v>
      </c>
      <c r="S53" s="129" t="s">
        <v>64</v>
      </c>
      <c r="T53" s="129"/>
      <c r="U53" s="129"/>
      <c r="V53" s="129"/>
      <c r="W53" s="129"/>
      <c r="X53" s="129"/>
      <c r="Y53" s="129"/>
      <c r="Z53" s="129"/>
      <c r="AA53" s="129"/>
      <c r="AB53" s="126" t="s">
        <v>126</v>
      </c>
      <c r="AC53" s="127"/>
      <c r="AD53" s="19" t="s">
        <v>19</v>
      </c>
      <c r="AE53" s="130">
        <f>W114</f>
        <v>607000</v>
      </c>
      <c r="AF53" s="130"/>
      <c r="AG53" s="130"/>
      <c r="AH53" s="131"/>
    </row>
    <row r="54" spans="1:34">
      <c r="A54" s="29">
        <v>11</v>
      </c>
      <c r="B54" s="129" t="s">
        <v>49</v>
      </c>
      <c r="C54" s="129"/>
      <c r="D54" s="129"/>
      <c r="E54" s="129"/>
      <c r="F54" s="129"/>
      <c r="G54" s="129"/>
      <c r="H54" s="129"/>
      <c r="I54" s="129"/>
      <c r="J54" s="129"/>
      <c r="K54" s="126" t="s">
        <v>111</v>
      </c>
      <c r="L54" s="127"/>
      <c r="M54" s="16" t="s">
        <v>19</v>
      </c>
      <c r="N54" s="130">
        <f>X104</f>
        <v>0</v>
      </c>
      <c r="O54" s="130"/>
      <c r="P54" s="130"/>
      <c r="Q54" s="134"/>
      <c r="R54" s="13">
        <v>26</v>
      </c>
      <c r="S54" s="129" t="s">
        <v>65</v>
      </c>
      <c r="T54" s="129"/>
      <c r="U54" s="129"/>
      <c r="V54" s="129"/>
      <c r="W54" s="129"/>
      <c r="X54" s="129"/>
      <c r="Y54" s="129"/>
      <c r="Z54" s="129"/>
      <c r="AA54" s="129"/>
      <c r="AB54" s="126" t="s">
        <v>193</v>
      </c>
      <c r="AC54" s="127"/>
      <c r="AD54" s="19" t="s">
        <v>19</v>
      </c>
      <c r="AE54" s="130">
        <f>AE177</f>
        <v>0</v>
      </c>
      <c r="AF54" s="130"/>
      <c r="AG54" s="130"/>
      <c r="AH54" s="131"/>
    </row>
    <row r="55" spans="1:34">
      <c r="A55" s="29">
        <v>12</v>
      </c>
      <c r="B55" s="136" t="s">
        <v>50</v>
      </c>
      <c r="C55" s="136"/>
      <c r="D55" s="136"/>
      <c r="E55" s="136"/>
      <c r="F55" s="136"/>
      <c r="G55" s="136"/>
      <c r="H55" s="136"/>
      <c r="I55" s="136"/>
      <c r="J55" s="136"/>
      <c r="K55" s="126" t="s">
        <v>111</v>
      </c>
      <c r="L55" s="127"/>
      <c r="M55" s="16" t="s">
        <v>19</v>
      </c>
      <c r="N55" s="130">
        <f>Z95</f>
        <v>0</v>
      </c>
      <c r="O55" s="130"/>
      <c r="P55" s="130"/>
      <c r="Q55" s="134"/>
      <c r="R55" s="49">
        <v>27</v>
      </c>
      <c r="S55" s="80" t="s">
        <v>198</v>
      </c>
      <c r="T55" s="80"/>
      <c r="U55" s="80"/>
      <c r="V55" s="80"/>
      <c r="W55" s="80"/>
      <c r="X55" s="80"/>
      <c r="Y55" s="80"/>
      <c r="Z55" s="80"/>
      <c r="AA55" s="168" t="s">
        <v>224</v>
      </c>
      <c r="AB55" s="168"/>
      <c r="AC55" s="169"/>
      <c r="AD55" s="50" t="s">
        <v>19</v>
      </c>
      <c r="AE55" s="130">
        <f>S189+Y134+Y145</f>
        <v>10400</v>
      </c>
      <c r="AF55" s="130"/>
      <c r="AG55" s="130"/>
      <c r="AH55" s="131"/>
    </row>
    <row r="56" spans="1:34">
      <c r="A56" s="29">
        <v>13</v>
      </c>
      <c r="B56" s="129" t="s">
        <v>51</v>
      </c>
      <c r="C56" s="129"/>
      <c r="D56" s="129"/>
      <c r="E56" s="129"/>
      <c r="F56" s="129"/>
      <c r="G56" s="129"/>
      <c r="H56" s="129"/>
      <c r="I56" s="129"/>
      <c r="J56" s="129"/>
      <c r="K56" s="126" t="s">
        <v>138</v>
      </c>
      <c r="L56" s="127"/>
      <c r="M56" s="16" t="s">
        <v>19</v>
      </c>
      <c r="N56" s="130">
        <f>U134</f>
        <v>85000</v>
      </c>
      <c r="O56" s="130"/>
      <c r="P56" s="130"/>
      <c r="Q56" s="134"/>
      <c r="R56" s="13">
        <v>28</v>
      </c>
      <c r="S56" s="141" t="s">
        <v>66</v>
      </c>
      <c r="T56" s="141"/>
      <c r="U56" s="141"/>
      <c r="V56" s="141"/>
      <c r="W56" s="141"/>
      <c r="X56" s="141"/>
      <c r="Y56" s="141"/>
      <c r="Z56" s="141"/>
      <c r="AA56" s="141"/>
      <c r="AB56" s="141"/>
      <c r="AC56" s="142"/>
      <c r="AD56" s="19" t="s">
        <v>19</v>
      </c>
      <c r="AE56" s="132">
        <f>SUM(AE52:AH55)</f>
        <v>617400</v>
      </c>
      <c r="AF56" s="132"/>
      <c r="AG56" s="132"/>
      <c r="AH56" s="133"/>
    </row>
    <row r="57" spans="1:34">
      <c r="A57" s="29">
        <v>14</v>
      </c>
      <c r="B57" s="129" t="s">
        <v>52</v>
      </c>
      <c r="C57" s="129"/>
      <c r="D57" s="129"/>
      <c r="E57" s="129"/>
      <c r="F57" s="129"/>
      <c r="G57" s="129"/>
      <c r="H57" s="129"/>
      <c r="I57" s="129"/>
      <c r="J57" s="129"/>
      <c r="K57" s="126" t="s">
        <v>177</v>
      </c>
      <c r="L57" s="127"/>
      <c r="M57" s="16" t="s">
        <v>19</v>
      </c>
      <c r="N57" s="130">
        <f>U145</f>
        <v>0</v>
      </c>
      <c r="O57" s="130"/>
      <c r="P57" s="130"/>
      <c r="Q57" s="134"/>
      <c r="R57" s="13">
        <v>29</v>
      </c>
      <c r="S57" s="147" t="s">
        <v>68</v>
      </c>
      <c r="T57" s="147"/>
      <c r="U57" s="147"/>
      <c r="V57" s="147"/>
      <c r="W57" s="147"/>
      <c r="X57" s="147"/>
      <c r="Y57" s="147"/>
      <c r="Z57" s="147"/>
      <c r="AA57" s="147"/>
      <c r="AB57" s="147"/>
      <c r="AC57" s="148"/>
      <c r="AD57" s="19" t="s">
        <v>19</v>
      </c>
      <c r="AE57" s="130">
        <f>N58-AE56</f>
        <v>549200</v>
      </c>
      <c r="AF57" s="130"/>
      <c r="AG57" s="130"/>
      <c r="AH57" s="131"/>
    </row>
    <row r="58" spans="1:34" ht="13.5" thickBot="1">
      <c r="A58" s="29">
        <v>15</v>
      </c>
      <c r="B58" s="141" t="s">
        <v>53</v>
      </c>
      <c r="C58" s="141"/>
      <c r="D58" s="141"/>
      <c r="E58" s="141"/>
      <c r="F58" s="141"/>
      <c r="G58" s="141"/>
      <c r="H58" s="141"/>
      <c r="I58" s="141"/>
      <c r="J58" s="141"/>
      <c r="K58" s="141"/>
      <c r="L58" s="142"/>
      <c r="M58" s="31" t="s">
        <v>19</v>
      </c>
      <c r="N58" s="170">
        <f>SUM(N50:Q57)</f>
        <v>1166600</v>
      </c>
      <c r="O58" s="170"/>
      <c r="P58" s="170"/>
      <c r="Q58" s="171"/>
      <c r="R58" s="59">
        <v>30</v>
      </c>
      <c r="S58" s="191" t="s">
        <v>67</v>
      </c>
      <c r="T58" s="191"/>
      <c r="U58" s="191"/>
      <c r="V58" s="191"/>
      <c r="W58" s="191"/>
      <c r="X58" s="191"/>
      <c r="Y58" s="191"/>
      <c r="Z58" s="191"/>
      <c r="AA58" s="191"/>
      <c r="AB58" s="191"/>
      <c r="AC58" s="192"/>
      <c r="AD58" s="4" t="s">
        <v>19</v>
      </c>
      <c r="AE58" s="166">
        <f>AE56+AE57</f>
        <v>1166600</v>
      </c>
      <c r="AF58" s="166"/>
      <c r="AG58" s="166"/>
      <c r="AH58" s="167"/>
    </row>
    <row r="59" spans="1:34" ht="13.5" thickBot="1">
      <c r="A59" s="15"/>
      <c r="B59" s="56"/>
      <c r="C59" s="56"/>
      <c r="D59" s="56"/>
      <c r="E59" s="56"/>
      <c r="F59" s="56"/>
      <c r="G59" s="56"/>
      <c r="H59" s="56"/>
      <c r="I59" s="56"/>
      <c r="J59" s="56"/>
      <c r="K59" s="56"/>
      <c r="L59" s="56"/>
      <c r="M59" s="57"/>
      <c r="N59" s="58"/>
      <c r="O59" s="58"/>
      <c r="P59" s="58"/>
      <c r="Q59" s="58"/>
      <c r="R59" s="60"/>
      <c r="S59" s="61"/>
      <c r="T59" s="61"/>
      <c r="U59" s="61"/>
      <c r="V59" s="61"/>
      <c r="W59" s="61"/>
      <c r="X59" s="61"/>
      <c r="Y59" s="61"/>
      <c r="Z59" s="61"/>
      <c r="AA59" s="61"/>
      <c r="AB59" s="61"/>
      <c r="AC59" s="61"/>
      <c r="AD59" s="64"/>
      <c r="AE59" s="62"/>
      <c r="AF59" s="62"/>
      <c r="AG59" s="62"/>
      <c r="AH59" s="63"/>
    </row>
    <row r="60" spans="1:34" ht="13.5" thickBot="1">
      <c r="A60" s="15"/>
      <c r="B60" s="56"/>
      <c r="C60" s="56"/>
      <c r="D60" s="56"/>
      <c r="E60" s="56"/>
      <c r="F60" s="56"/>
      <c r="G60" s="56"/>
      <c r="H60" s="56"/>
      <c r="I60" s="56"/>
      <c r="J60" s="56"/>
      <c r="K60" s="56"/>
      <c r="L60" s="56"/>
      <c r="M60" s="57"/>
      <c r="N60" s="58"/>
      <c r="O60" s="58"/>
      <c r="P60" s="58"/>
      <c r="Q60" s="58"/>
      <c r="R60" s="65">
        <v>31</v>
      </c>
      <c r="S60" s="250" t="s">
        <v>202</v>
      </c>
      <c r="T60" s="250"/>
      <c r="U60" s="250"/>
      <c r="V60" s="250"/>
      <c r="W60" s="250"/>
      <c r="X60" s="250"/>
      <c r="Y60" s="250"/>
      <c r="Z60" s="250"/>
      <c r="AA60" s="250"/>
      <c r="AB60" s="246" t="s">
        <v>201</v>
      </c>
      <c r="AC60" s="247"/>
      <c r="AD60" s="66" t="s">
        <v>19</v>
      </c>
      <c r="AE60" s="248">
        <f>P204</f>
        <v>0</v>
      </c>
      <c r="AF60" s="248"/>
      <c r="AG60" s="248"/>
      <c r="AH60" s="249"/>
    </row>
    <row r="61" spans="1:34">
      <c r="A61" s="128" t="s">
        <v>69</v>
      </c>
      <c r="B61" s="128"/>
      <c r="C61" s="128"/>
      <c r="D61" s="128"/>
      <c r="E61" s="128"/>
      <c r="F61" s="128"/>
      <c r="G61" s="128"/>
      <c r="H61" s="128"/>
      <c r="I61" s="128"/>
      <c r="J61" s="128"/>
      <c r="K61" s="128"/>
      <c r="L61" s="128"/>
      <c r="M61" s="128"/>
      <c r="N61" s="128"/>
      <c r="O61" s="128"/>
      <c r="P61" s="128"/>
      <c r="Q61" s="128"/>
      <c r="R61" s="128"/>
      <c r="S61" s="128"/>
      <c r="T61" s="128"/>
      <c r="U61" s="128"/>
      <c r="V61" s="128"/>
      <c r="W61" s="128"/>
      <c r="X61" s="128"/>
      <c r="Y61" s="128"/>
      <c r="Z61" s="128"/>
      <c r="AA61" s="128"/>
      <c r="AB61" s="128"/>
      <c r="AC61" s="128"/>
      <c r="AD61" s="128"/>
      <c r="AE61" s="128"/>
      <c r="AF61" s="128"/>
      <c r="AG61" s="128"/>
      <c r="AH61" s="128"/>
    </row>
    <row r="62" spans="1:34">
      <c r="A62" s="122" t="s">
        <v>77</v>
      </c>
      <c r="B62" s="122"/>
      <c r="C62" s="122"/>
      <c r="D62" s="122"/>
      <c r="E62" s="122"/>
      <c r="F62" s="122"/>
      <c r="G62" s="122"/>
      <c r="H62" s="122"/>
      <c r="I62" s="122"/>
      <c r="J62" s="122"/>
      <c r="K62" s="122"/>
      <c r="L62" s="122"/>
      <c r="M62" s="122"/>
      <c r="N62" s="122"/>
      <c r="O62" s="122"/>
      <c r="P62" s="122"/>
      <c r="Q62" s="122"/>
      <c r="R62" s="122"/>
      <c r="S62" s="122"/>
      <c r="T62" s="122"/>
      <c r="U62" s="122"/>
      <c r="V62" s="122"/>
      <c r="W62" s="122"/>
      <c r="X62" s="122"/>
      <c r="Y62" s="122"/>
      <c r="Z62" s="122"/>
      <c r="AA62" s="122"/>
      <c r="AB62" s="122"/>
      <c r="AC62" s="122"/>
      <c r="AD62" s="122"/>
      <c r="AE62" s="122"/>
      <c r="AF62" s="122"/>
      <c r="AG62" s="122"/>
      <c r="AH62" s="122"/>
    </row>
    <row r="63" spans="1:34">
      <c r="A63" s="87" t="s">
        <v>70</v>
      </c>
      <c r="B63" s="87"/>
      <c r="C63" s="87"/>
      <c r="D63" s="87"/>
      <c r="E63" s="87"/>
      <c r="F63" s="87"/>
      <c r="G63" s="87"/>
      <c r="H63" s="87" t="s">
        <v>71</v>
      </c>
      <c r="I63" s="87"/>
      <c r="J63" s="87"/>
      <c r="K63" s="87"/>
      <c r="L63" s="87"/>
      <c r="M63" s="87" t="s">
        <v>78</v>
      </c>
      <c r="N63" s="87"/>
      <c r="O63" s="87"/>
      <c r="P63" s="87"/>
      <c r="Q63" s="87"/>
      <c r="R63" s="87"/>
      <c r="S63" s="87"/>
      <c r="T63" s="87"/>
      <c r="U63" s="87"/>
      <c r="V63" s="87"/>
      <c r="W63" s="87"/>
      <c r="X63" s="87"/>
      <c r="Y63" s="87" t="s">
        <v>72</v>
      </c>
      <c r="Z63" s="87"/>
      <c r="AA63" s="87"/>
      <c r="AB63" s="87"/>
      <c r="AC63" s="114"/>
      <c r="AD63" s="87" t="s">
        <v>73</v>
      </c>
      <c r="AE63" s="87"/>
      <c r="AF63" s="87"/>
      <c r="AG63" s="87"/>
      <c r="AH63" s="87"/>
    </row>
    <row r="64" spans="1:34">
      <c r="A64" s="103" t="s">
        <v>244</v>
      </c>
      <c r="B64" s="103"/>
      <c r="C64" s="103"/>
      <c r="D64" s="103"/>
      <c r="E64" s="103"/>
      <c r="F64" s="103"/>
      <c r="G64" s="103"/>
      <c r="H64" s="103" t="s">
        <v>228</v>
      </c>
      <c r="I64" s="103"/>
      <c r="J64" s="103"/>
      <c r="K64" s="103"/>
      <c r="L64" s="103"/>
      <c r="M64" s="103"/>
      <c r="N64" s="103"/>
      <c r="O64" s="103"/>
      <c r="P64" s="103"/>
      <c r="Q64" s="103"/>
      <c r="R64" s="103"/>
      <c r="S64" s="103"/>
      <c r="T64" s="103"/>
      <c r="U64" s="103"/>
      <c r="V64" s="103"/>
      <c r="W64" s="103"/>
      <c r="X64" s="103"/>
      <c r="Y64" s="103" t="s">
        <v>227</v>
      </c>
      <c r="Z64" s="103"/>
      <c r="AA64" s="103"/>
      <c r="AB64" s="103"/>
      <c r="AC64" s="124"/>
      <c r="AD64" s="86">
        <v>51000</v>
      </c>
      <c r="AE64" s="86"/>
      <c r="AF64" s="86"/>
      <c r="AG64" s="86"/>
      <c r="AH64" s="86"/>
    </row>
    <row r="65" spans="1:34">
      <c r="A65" s="103" t="s">
        <v>245</v>
      </c>
      <c r="B65" s="103"/>
      <c r="C65" s="103"/>
      <c r="D65" s="103"/>
      <c r="E65" s="103"/>
      <c r="F65" s="103"/>
      <c r="G65" s="103"/>
      <c r="H65" s="103" t="s">
        <v>228</v>
      </c>
      <c r="I65" s="103"/>
      <c r="J65" s="103"/>
      <c r="K65" s="103"/>
      <c r="L65" s="103"/>
      <c r="M65" s="103"/>
      <c r="N65" s="103"/>
      <c r="O65" s="103"/>
      <c r="P65" s="103"/>
      <c r="Q65" s="103"/>
      <c r="R65" s="103"/>
      <c r="S65" s="103"/>
      <c r="T65" s="103"/>
      <c r="U65" s="103"/>
      <c r="V65" s="103"/>
      <c r="W65" s="103"/>
      <c r="X65" s="103"/>
      <c r="Y65" s="103" t="s">
        <v>248</v>
      </c>
      <c r="Z65" s="103"/>
      <c r="AA65" s="103"/>
      <c r="AB65" s="103"/>
      <c r="AC65" s="124"/>
      <c r="AD65" s="86">
        <v>4700</v>
      </c>
      <c r="AE65" s="86"/>
      <c r="AF65" s="86"/>
      <c r="AG65" s="86"/>
      <c r="AH65" s="86"/>
    </row>
    <row r="66" spans="1:34">
      <c r="A66" s="103" t="s">
        <v>246</v>
      </c>
      <c r="B66" s="103"/>
      <c r="C66" s="103"/>
      <c r="D66" s="103"/>
      <c r="E66" s="103"/>
      <c r="F66" s="103"/>
      <c r="G66" s="103"/>
      <c r="H66" s="103" t="s">
        <v>228</v>
      </c>
      <c r="I66" s="103"/>
      <c r="J66" s="103"/>
      <c r="K66" s="103"/>
      <c r="L66" s="103"/>
      <c r="M66" s="103"/>
      <c r="N66" s="103"/>
      <c r="O66" s="103"/>
      <c r="P66" s="103"/>
      <c r="Q66" s="103"/>
      <c r="R66" s="103"/>
      <c r="S66" s="103"/>
      <c r="T66" s="103"/>
      <c r="U66" s="103"/>
      <c r="V66" s="103"/>
      <c r="W66" s="103"/>
      <c r="X66" s="103"/>
      <c r="Y66" s="103" t="s">
        <v>248</v>
      </c>
      <c r="Z66" s="103"/>
      <c r="AA66" s="103"/>
      <c r="AB66" s="103"/>
      <c r="AC66" s="124"/>
      <c r="AD66" s="86">
        <v>13000</v>
      </c>
      <c r="AE66" s="86"/>
      <c r="AF66" s="86"/>
      <c r="AG66" s="86"/>
      <c r="AH66" s="86"/>
    </row>
    <row r="67" spans="1:34">
      <c r="A67" s="103" t="s">
        <v>247</v>
      </c>
      <c r="B67" s="103"/>
      <c r="C67" s="103"/>
      <c r="D67" s="103"/>
      <c r="E67" s="103"/>
      <c r="F67" s="103"/>
      <c r="G67" s="103"/>
      <c r="H67" s="103" t="s">
        <v>228</v>
      </c>
      <c r="I67" s="103"/>
      <c r="J67" s="103"/>
      <c r="K67" s="103"/>
      <c r="L67" s="103"/>
      <c r="M67" s="103"/>
      <c r="N67" s="103"/>
      <c r="O67" s="103"/>
      <c r="P67" s="103"/>
      <c r="Q67" s="103"/>
      <c r="R67" s="103"/>
      <c r="S67" s="103"/>
      <c r="T67" s="103"/>
      <c r="U67" s="103"/>
      <c r="V67" s="103"/>
      <c r="W67" s="103"/>
      <c r="X67" s="103"/>
      <c r="Y67" s="103" t="s">
        <v>248</v>
      </c>
      <c r="Z67" s="103"/>
      <c r="AA67" s="103"/>
      <c r="AB67" s="103"/>
      <c r="AC67" s="124"/>
      <c r="AD67" s="86">
        <v>2.11</v>
      </c>
      <c r="AE67" s="86"/>
      <c r="AF67" s="86"/>
      <c r="AG67" s="86"/>
      <c r="AH67" s="86"/>
    </row>
    <row r="68" spans="1:34">
      <c r="A68" s="103" t="s">
        <v>249</v>
      </c>
      <c r="B68" s="103"/>
      <c r="C68" s="103"/>
      <c r="D68" s="103"/>
      <c r="E68" s="103"/>
      <c r="F68" s="103"/>
      <c r="G68" s="103"/>
      <c r="H68" s="103"/>
      <c r="I68" s="103"/>
      <c r="J68" s="103"/>
      <c r="K68" s="103"/>
      <c r="L68" s="103"/>
      <c r="M68" s="103"/>
      <c r="N68" s="103"/>
      <c r="O68" s="103"/>
      <c r="P68" s="103"/>
      <c r="Q68" s="103"/>
      <c r="R68" s="103"/>
      <c r="S68" s="103"/>
      <c r="T68" s="103"/>
      <c r="U68" s="103"/>
      <c r="V68" s="103"/>
      <c r="W68" s="103"/>
      <c r="X68" s="103"/>
      <c r="Y68" s="103" t="s">
        <v>227</v>
      </c>
      <c r="Z68" s="103"/>
      <c r="AA68" s="103"/>
      <c r="AB68" s="103"/>
      <c r="AC68" s="124"/>
      <c r="AD68" s="86">
        <v>27000</v>
      </c>
      <c r="AE68" s="86"/>
      <c r="AF68" s="86"/>
      <c r="AG68" s="86"/>
      <c r="AH68" s="86"/>
    </row>
    <row r="69" spans="1:34">
      <c r="A69" s="103"/>
      <c r="B69" s="103"/>
      <c r="C69" s="103"/>
      <c r="D69" s="103"/>
      <c r="E69" s="103"/>
      <c r="F69" s="103"/>
      <c r="G69" s="103"/>
      <c r="H69" s="103"/>
      <c r="I69" s="103"/>
      <c r="J69" s="103"/>
      <c r="K69" s="103"/>
      <c r="L69" s="103"/>
      <c r="M69" s="103"/>
      <c r="N69" s="103"/>
      <c r="O69" s="103"/>
      <c r="P69" s="103"/>
      <c r="Q69" s="103"/>
      <c r="R69" s="103"/>
      <c r="S69" s="103"/>
      <c r="T69" s="103"/>
      <c r="U69" s="103"/>
      <c r="V69" s="103"/>
      <c r="W69" s="103"/>
      <c r="X69" s="103"/>
      <c r="Y69" s="103"/>
      <c r="Z69" s="103"/>
      <c r="AA69" s="103"/>
      <c r="AB69" s="103"/>
      <c r="AC69" s="124"/>
      <c r="AD69" s="86"/>
      <c r="AE69" s="86"/>
      <c r="AF69" s="86"/>
      <c r="AG69" s="86"/>
      <c r="AH69" s="86"/>
    </row>
    <row r="70" spans="1:34">
      <c r="W70" s="34"/>
      <c r="X70" s="34"/>
      <c r="Y70" t="s">
        <v>74</v>
      </c>
      <c r="AD70" s="86"/>
      <c r="AE70" s="86"/>
      <c r="AF70" s="86"/>
      <c r="AG70" s="86"/>
      <c r="AH70" s="86"/>
    </row>
    <row r="71" spans="1:34">
      <c r="W71" s="35"/>
      <c r="X71" s="35"/>
      <c r="Y71" t="s">
        <v>75</v>
      </c>
      <c r="AD71" s="100">
        <f>SUM(AD64:AH70)</f>
        <v>95702.11</v>
      </c>
      <c r="AE71" s="100"/>
      <c r="AF71" s="100"/>
      <c r="AG71" s="100"/>
      <c r="AH71" s="100"/>
    </row>
    <row r="72" spans="1:34">
      <c r="W72" s="36"/>
      <c r="X72" s="36"/>
      <c r="AD72" s="88" t="s">
        <v>76</v>
      </c>
      <c r="AE72" s="88"/>
      <c r="AF72" s="88"/>
      <c r="AG72" s="88"/>
      <c r="AH72" s="88"/>
    </row>
    <row r="73" spans="1:34" ht="4.5" customHeight="1"/>
    <row r="74" spans="1:34">
      <c r="A74" s="122" t="s">
        <v>79</v>
      </c>
      <c r="B74" s="122"/>
      <c r="C74" s="122"/>
      <c r="D74" s="122"/>
      <c r="E74" s="122"/>
      <c r="F74" s="122"/>
      <c r="G74" s="122"/>
      <c r="H74" s="122"/>
      <c r="I74" s="122"/>
      <c r="J74" s="122"/>
      <c r="K74" s="122"/>
      <c r="L74" s="122"/>
      <c r="M74" s="122"/>
      <c r="N74" s="122"/>
      <c r="O74" s="122"/>
      <c r="P74" s="122"/>
      <c r="Q74" s="122"/>
      <c r="R74" s="122"/>
      <c r="S74" s="122"/>
      <c r="T74" s="122"/>
      <c r="U74" s="122"/>
      <c r="V74" s="122"/>
      <c r="W74" s="122"/>
      <c r="X74" s="122"/>
      <c r="Y74" s="122"/>
      <c r="Z74" s="122"/>
      <c r="AA74" s="122"/>
      <c r="AB74" s="122"/>
      <c r="AC74" s="122"/>
      <c r="AD74" s="122"/>
      <c r="AE74" s="122"/>
      <c r="AF74" s="122"/>
      <c r="AG74" s="122"/>
      <c r="AH74" s="122"/>
    </row>
    <row r="75" spans="1:34" ht="24.75" customHeight="1">
      <c r="A75" s="87" t="s">
        <v>80</v>
      </c>
      <c r="B75" s="87"/>
      <c r="C75" s="87"/>
      <c r="D75" s="87"/>
      <c r="E75" s="87"/>
      <c r="F75" s="87"/>
      <c r="G75" s="87"/>
      <c r="H75" s="87" t="s">
        <v>81</v>
      </c>
      <c r="I75" s="87"/>
      <c r="J75" s="87"/>
      <c r="K75" s="87"/>
      <c r="L75" s="114"/>
      <c r="M75" s="115" t="s">
        <v>82</v>
      </c>
      <c r="N75" s="115"/>
      <c r="O75" s="115"/>
      <c r="P75" s="115"/>
      <c r="Q75" s="115"/>
      <c r="R75" s="123" t="s">
        <v>83</v>
      </c>
      <c r="S75" s="123"/>
      <c r="T75" s="123"/>
      <c r="U75" s="123"/>
      <c r="V75" s="123"/>
      <c r="W75" s="115" t="s">
        <v>84</v>
      </c>
      <c r="X75" s="115"/>
      <c r="Y75" s="115"/>
      <c r="Z75" s="115"/>
      <c r="AA75" s="115"/>
      <c r="AB75" s="87" t="s">
        <v>85</v>
      </c>
      <c r="AC75" s="87"/>
      <c r="AD75" s="87"/>
      <c r="AE75" s="87"/>
      <c r="AF75" s="87"/>
      <c r="AG75" s="87"/>
      <c r="AH75" s="87"/>
    </row>
    <row r="76" spans="1:34">
      <c r="A76" s="121"/>
      <c r="B76" s="98"/>
      <c r="C76" s="98"/>
      <c r="D76" s="98"/>
      <c r="E76" s="98"/>
      <c r="F76" s="98"/>
      <c r="G76" s="98"/>
      <c r="H76" s="119"/>
      <c r="I76" s="119"/>
      <c r="J76" s="119"/>
      <c r="K76" s="119"/>
      <c r="L76" s="120"/>
      <c r="M76" s="86"/>
      <c r="N76" s="86"/>
      <c r="O76" s="86"/>
      <c r="P76" s="86"/>
      <c r="Q76" s="86"/>
      <c r="R76" s="100"/>
      <c r="S76" s="100"/>
      <c r="T76" s="100"/>
      <c r="U76" s="100"/>
      <c r="V76" s="100"/>
      <c r="W76" s="86"/>
      <c r="X76" s="86"/>
      <c r="Y76" s="86"/>
      <c r="Z76" s="86"/>
      <c r="AA76" s="86"/>
      <c r="AB76" s="103"/>
      <c r="AC76" s="103"/>
      <c r="AD76" s="103"/>
      <c r="AE76" s="103"/>
      <c r="AF76" s="103"/>
      <c r="AG76" s="103"/>
      <c r="AH76" s="103"/>
    </row>
    <row r="77" spans="1:34">
      <c r="A77" s="98"/>
      <c r="B77" s="98"/>
      <c r="C77" s="98"/>
      <c r="D77" s="98"/>
      <c r="E77" s="98"/>
      <c r="F77" s="98"/>
      <c r="G77" s="98"/>
      <c r="H77" s="119"/>
      <c r="I77" s="119"/>
      <c r="J77" s="119"/>
      <c r="K77" s="119"/>
      <c r="L77" s="120"/>
      <c r="M77" s="86"/>
      <c r="N77" s="86"/>
      <c r="O77" s="86"/>
      <c r="P77" s="86"/>
      <c r="Q77" s="86"/>
      <c r="R77" s="100"/>
      <c r="S77" s="100"/>
      <c r="T77" s="100"/>
      <c r="U77" s="100"/>
      <c r="V77" s="100"/>
      <c r="W77" s="86"/>
      <c r="X77" s="86"/>
      <c r="Y77" s="86"/>
      <c r="Z77" s="86"/>
      <c r="AA77" s="86"/>
      <c r="AB77" s="103"/>
      <c r="AC77" s="103"/>
      <c r="AD77" s="103"/>
      <c r="AE77" s="103"/>
      <c r="AF77" s="103"/>
      <c r="AG77" s="103"/>
      <c r="AH77" s="103"/>
    </row>
    <row r="78" spans="1:34">
      <c r="A78" s="98"/>
      <c r="B78" s="98"/>
      <c r="C78" s="98"/>
      <c r="D78" s="98"/>
      <c r="E78" s="98"/>
      <c r="F78" s="98"/>
      <c r="G78" s="98"/>
      <c r="H78" s="119"/>
      <c r="I78" s="119"/>
      <c r="J78" s="119"/>
      <c r="K78" s="119"/>
      <c r="L78" s="120"/>
      <c r="M78" s="86"/>
      <c r="N78" s="86"/>
      <c r="O78" s="86"/>
      <c r="P78" s="86"/>
      <c r="Q78" s="86"/>
      <c r="R78" s="100"/>
      <c r="S78" s="100"/>
      <c r="T78" s="100"/>
      <c r="U78" s="100"/>
      <c r="V78" s="100"/>
      <c r="W78" s="86"/>
      <c r="X78" s="86"/>
      <c r="Y78" s="86"/>
      <c r="Z78" s="86"/>
      <c r="AA78" s="86"/>
      <c r="AB78" s="103"/>
      <c r="AC78" s="103"/>
      <c r="AD78" s="103"/>
      <c r="AE78" s="103"/>
      <c r="AF78" s="103"/>
      <c r="AG78" s="103"/>
      <c r="AH78" s="103"/>
    </row>
    <row r="79" spans="1:34">
      <c r="A79" s="98"/>
      <c r="B79" s="98"/>
      <c r="C79" s="98"/>
      <c r="D79" s="98"/>
      <c r="E79" s="98"/>
      <c r="F79" s="98"/>
      <c r="G79" s="98"/>
      <c r="H79" s="119"/>
      <c r="I79" s="119"/>
      <c r="J79" s="119"/>
      <c r="K79" s="119"/>
      <c r="L79" s="120"/>
      <c r="M79" s="86"/>
      <c r="N79" s="86"/>
      <c r="O79" s="86"/>
      <c r="P79" s="86"/>
      <c r="Q79" s="86"/>
      <c r="R79" s="100"/>
      <c r="S79" s="100"/>
      <c r="T79" s="100"/>
      <c r="U79" s="100"/>
      <c r="V79" s="100"/>
      <c r="W79" s="86"/>
      <c r="X79" s="86"/>
      <c r="Y79" s="86"/>
      <c r="Z79" s="86"/>
      <c r="AA79" s="86"/>
      <c r="AB79" s="103"/>
      <c r="AC79" s="103"/>
      <c r="AD79" s="103"/>
      <c r="AE79" s="103"/>
      <c r="AF79" s="103"/>
      <c r="AG79" s="103"/>
      <c r="AH79" s="103"/>
    </row>
    <row r="80" spans="1:34">
      <c r="A80" s="98"/>
      <c r="B80" s="98"/>
      <c r="C80" s="98"/>
      <c r="D80" s="98"/>
      <c r="E80" s="98"/>
      <c r="F80" s="98"/>
      <c r="G80" s="98"/>
      <c r="H80" s="119"/>
      <c r="I80" s="119"/>
      <c r="J80" s="119"/>
      <c r="K80" s="119"/>
      <c r="L80" s="120"/>
      <c r="M80" s="86"/>
      <c r="N80" s="86"/>
      <c r="O80" s="86"/>
      <c r="P80" s="86"/>
      <c r="Q80" s="86"/>
      <c r="R80" s="100"/>
      <c r="S80" s="100"/>
      <c r="T80" s="100"/>
      <c r="U80" s="100"/>
      <c r="V80" s="100"/>
      <c r="W80" s="86"/>
      <c r="X80" s="86"/>
      <c r="Y80" s="86"/>
      <c r="Z80" s="86"/>
      <c r="AA80" s="86"/>
      <c r="AB80" s="103"/>
      <c r="AC80" s="103"/>
      <c r="AD80" s="103"/>
      <c r="AE80" s="103"/>
      <c r="AF80" s="103"/>
      <c r="AG80" s="103"/>
      <c r="AH80" s="103"/>
    </row>
    <row r="81" spans="1:34">
      <c r="A81" s="98"/>
      <c r="B81" s="98"/>
      <c r="C81" s="98"/>
      <c r="D81" s="98"/>
      <c r="E81" s="98"/>
      <c r="F81" s="98"/>
      <c r="G81" s="98"/>
      <c r="H81" s="119"/>
      <c r="I81" s="119"/>
      <c r="J81" s="119"/>
      <c r="K81" s="119"/>
      <c r="L81" s="120"/>
      <c r="M81" s="86"/>
      <c r="N81" s="86"/>
      <c r="O81" s="86"/>
      <c r="P81" s="86"/>
      <c r="Q81" s="86"/>
      <c r="R81" s="100"/>
      <c r="S81" s="100"/>
      <c r="T81" s="100"/>
      <c r="U81" s="100"/>
      <c r="V81" s="100"/>
      <c r="W81" s="86"/>
      <c r="X81" s="86"/>
      <c r="Y81" s="86"/>
      <c r="Z81" s="86"/>
      <c r="AA81" s="86"/>
      <c r="AB81" s="103"/>
      <c r="AC81" s="103"/>
      <c r="AD81" s="103"/>
      <c r="AE81" s="103"/>
      <c r="AF81" s="103"/>
      <c r="AG81" s="103"/>
      <c r="AH81" s="103"/>
    </row>
    <row r="82" spans="1:34">
      <c r="H82" t="s">
        <v>75</v>
      </c>
      <c r="M82" s="118">
        <f>SUM(M76:Q81)</f>
        <v>0</v>
      </c>
      <c r="N82" s="118"/>
      <c r="O82" s="118"/>
      <c r="P82" s="118"/>
      <c r="Q82" s="118"/>
      <c r="R82" s="100">
        <f>SUM(R76:V81)</f>
        <v>0</v>
      </c>
      <c r="S82" s="100"/>
      <c r="T82" s="100"/>
      <c r="U82" s="100"/>
      <c r="V82" s="100"/>
    </row>
    <row r="83" spans="1:34">
      <c r="M83" s="88" t="s">
        <v>86</v>
      </c>
      <c r="N83" s="88"/>
      <c r="O83" s="88"/>
      <c r="P83" s="88"/>
      <c r="Q83" s="88"/>
      <c r="R83" s="88" t="s">
        <v>88</v>
      </c>
      <c r="S83" s="88"/>
      <c r="T83" s="88"/>
      <c r="U83" s="88"/>
      <c r="V83" s="88"/>
    </row>
    <row r="84" spans="1:34" ht="4.5" customHeight="1"/>
    <row r="85" spans="1:34">
      <c r="A85" s="1" t="s">
        <v>89</v>
      </c>
    </row>
    <row r="86" spans="1:34" ht="36" customHeight="1">
      <c r="A86" s="115" t="s">
        <v>90</v>
      </c>
      <c r="B86" s="115"/>
      <c r="C86" s="115"/>
      <c r="D86" s="115" t="s">
        <v>91</v>
      </c>
      <c r="E86" s="115"/>
      <c r="F86" s="115"/>
      <c r="G86" s="115"/>
      <c r="H86" s="115"/>
      <c r="I86" s="115"/>
      <c r="J86" s="115"/>
      <c r="K86" s="115"/>
      <c r="L86" s="115"/>
      <c r="M86" s="115"/>
      <c r="N86" s="117" t="s">
        <v>92</v>
      </c>
      <c r="O86" s="117"/>
      <c r="P86" s="117"/>
      <c r="Q86" s="117"/>
      <c r="R86" s="115" t="s">
        <v>93</v>
      </c>
      <c r="S86" s="115"/>
      <c r="T86" s="115"/>
      <c r="U86" s="115"/>
      <c r="V86" s="115" t="s">
        <v>94</v>
      </c>
      <c r="W86" s="115"/>
      <c r="X86" s="115"/>
      <c r="Y86" s="115"/>
      <c r="Z86" s="115" t="s">
        <v>95</v>
      </c>
      <c r="AA86" s="115"/>
      <c r="AB86" s="115"/>
      <c r="AC86" s="115"/>
      <c r="AD86" s="115" t="s">
        <v>96</v>
      </c>
      <c r="AE86" s="115"/>
      <c r="AF86" s="115"/>
      <c r="AG86" s="115"/>
      <c r="AH86" s="115"/>
    </row>
    <row r="87" spans="1:34">
      <c r="A87" s="116"/>
      <c r="B87" s="116"/>
      <c r="C87" s="116"/>
      <c r="D87" s="103"/>
      <c r="E87" s="103"/>
      <c r="F87" s="103"/>
      <c r="G87" s="103"/>
      <c r="H87" s="103"/>
      <c r="I87" s="103"/>
      <c r="J87" s="103"/>
      <c r="K87" s="103"/>
      <c r="L87" s="103"/>
      <c r="M87" s="103"/>
      <c r="N87" s="100"/>
      <c r="O87" s="100"/>
      <c r="P87" s="100"/>
      <c r="Q87" s="101"/>
      <c r="R87" s="100"/>
      <c r="S87" s="100"/>
      <c r="T87" s="100"/>
      <c r="U87" s="100"/>
      <c r="V87" s="100"/>
      <c r="W87" s="100"/>
      <c r="X87" s="100"/>
      <c r="Y87" s="100"/>
      <c r="Z87" s="86"/>
      <c r="AA87" s="86"/>
      <c r="AB87" s="86"/>
      <c r="AC87" s="86"/>
      <c r="AD87" s="86"/>
      <c r="AE87" s="86"/>
      <c r="AF87" s="86"/>
      <c r="AG87" s="86"/>
      <c r="AH87" s="86"/>
    </row>
    <row r="88" spans="1:34">
      <c r="A88" s="116"/>
      <c r="B88" s="116"/>
      <c r="C88" s="116"/>
      <c r="D88" s="103"/>
      <c r="E88" s="103"/>
      <c r="F88" s="103"/>
      <c r="G88" s="103"/>
      <c r="H88" s="103"/>
      <c r="I88" s="103"/>
      <c r="J88" s="103"/>
      <c r="K88" s="103"/>
      <c r="L88" s="103"/>
      <c r="M88" s="103"/>
      <c r="N88" s="100"/>
      <c r="O88" s="100"/>
      <c r="P88" s="100"/>
      <c r="Q88" s="101"/>
      <c r="R88" s="100"/>
      <c r="S88" s="100"/>
      <c r="T88" s="100"/>
      <c r="U88" s="100"/>
      <c r="V88" s="100"/>
      <c r="W88" s="100"/>
      <c r="X88" s="100"/>
      <c r="Y88" s="100"/>
      <c r="Z88" s="86"/>
      <c r="AA88" s="86"/>
      <c r="AB88" s="86"/>
      <c r="AC88" s="86"/>
      <c r="AD88" s="86"/>
      <c r="AE88" s="86"/>
      <c r="AF88" s="86"/>
      <c r="AG88" s="86"/>
      <c r="AH88" s="86"/>
    </row>
    <row r="89" spans="1:34">
      <c r="A89" s="116"/>
      <c r="B89" s="116"/>
      <c r="C89" s="116"/>
      <c r="D89" s="103"/>
      <c r="E89" s="103"/>
      <c r="F89" s="103"/>
      <c r="G89" s="103"/>
      <c r="H89" s="103"/>
      <c r="I89" s="103"/>
      <c r="J89" s="103"/>
      <c r="K89" s="103"/>
      <c r="L89" s="103"/>
      <c r="M89" s="103"/>
      <c r="N89" s="100"/>
      <c r="O89" s="100"/>
      <c r="P89" s="100"/>
      <c r="Q89" s="101"/>
      <c r="R89" s="100"/>
      <c r="S89" s="100"/>
      <c r="T89" s="100"/>
      <c r="U89" s="100"/>
      <c r="V89" s="100"/>
      <c r="W89" s="100"/>
      <c r="X89" s="100"/>
      <c r="Y89" s="100"/>
      <c r="Z89" s="86"/>
      <c r="AA89" s="86"/>
      <c r="AB89" s="86"/>
      <c r="AC89" s="86"/>
      <c r="AD89" s="86"/>
      <c r="AE89" s="86"/>
      <c r="AF89" s="86"/>
      <c r="AG89" s="86"/>
      <c r="AH89" s="86"/>
    </row>
    <row r="90" spans="1:34">
      <c r="A90" s="116"/>
      <c r="B90" s="116"/>
      <c r="C90" s="116"/>
      <c r="D90" s="103"/>
      <c r="E90" s="103"/>
      <c r="F90" s="103"/>
      <c r="G90" s="103"/>
      <c r="H90" s="103"/>
      <c r="I90" s="103"/>
      <c r="J90" s="103"/>
      <c r="K90" s="103"/>
      <c r="L90" s="103"/>
      <c r="M90" s="103"/>
      <c r="N90" s="100"/>
      <c r="O90" s="100"/>
      <c r="P90" s="100"/>
      <c r="Q90" s="101"/>
      <c r="R90" s="100"/>
      <c r="S90" s="100"/>
      <c r="T90" s="100"/>
      <c r="U90" s="100"/>
      <c r="V90" s="100"/>
      <c r="W90" s="100"/>
      <c r="X90" s="100"/>
      <c r="Y90" s="100"/>
      <c r="Z90" s="86"/>
      <c r="AA90" s="86"/>
      <c r="AB90" s="86"/>
      <c r="AC90" s="86"/>
      <c r="AD90" s="86"/>
      <c r="AE90" s="86"/>
      <c r="AF90" s="86"/>
      <c r="AG90" s="86"/>
      <c r="AH90" s="86"/>
    </row>
    <row r="91" spans="1:34">
      <c r="A91" s="116"/>
      <c r="B91" s="116"/>
      <c r="C91" s="116"/>
      <c r="D91" s="103"/>
      <c r="E91" s="103"/>
      <c r="F91" s="103"/>
      <c r="G91" s="103"/>
      <c r="H91" s="103"/>
      <c r="I91" s="103"/>
      <c r="J91" s="103"/>
      <c r="K91" s="103"/>
      <c r="L91" s="103"/>
      <c r="M91" s="103"/>
      <c r="N91" s="100"/>
      <c r="O91" s="100"/>
      <c r="P91" s="100"/>
      <c r="Q91" s="101"/>
      <c r="R91" s="100"/>
      <c r="S91" s="100"/>
      <c r="T91" s="100"/>
      <c r="U91" s="100"/>
      <c r="V91" s="100"/>
      <c r="W91" s="100"/>
      <c r="X91" s="100"/>
      <c r="Y91" s="100"/>
      <c r="Z91" s="86"/>
      <c r="AA91" s="86"/>
      <c r="AB91" s="86"/>
      <c r="AC91" s="86"/>
      <c r="AD91" s="86"/>
      <c r="AE91" s="86"/>
      <c r="AF91" s="86"/>
      <c r="AG91" s="86"/>
      <c r="AH91" s="86"/>
    </row>
    <row r="92" spans="1:34">
      <c r="A92" s="116"/>
      <c r="B92" s="116"/>
      <c r="C92" s="116"/>
      <c r="D92" s="103"/>
      <c r="E92" s="103"/>
      <c r="F92" s="103"/>
      <c r="G92" s="103"/>
      <c r="H92" s="103"/>
      <c r="I92" s="103"/>
      <c r="J92" s="103"/>
      <c r="K92" s="103"/>
      <c r="L92" s="103"/>
      <c r="M92" s="103"/>
      <c r="N92" s="100"/>
      <c r="O92" s="100"/>
      <c r="P92" s="100"/>
      <c r="Q92" s="101"/>
      <c r="R92" s="100"/>
      <c r="S92" s="100"/>
      <c r="T92" s="100"/>
      <c r="U92" s="100"/>
      <c r="V92" s="100"/>
      <c r="W92" s="100"/>
      <c r="X92" s="100"/>
      <c r="Y92" s="100"/>
      <c r="Z92" s="86"/>
      <c r="AA92" s="86"/>
      <c r="AB92" s="86"/>
      <c r="AC92" s="86"/>
      <c r="AD92" s="86"/>
      <c r="AE92" s="86"/>
      <c r="AF92" s="86"/>
      <c r="AG92" s="86"/>
      <c r="AH92" s="86"/>
    </row>
    <row r="93" spans="1:34">
      <c r="A93" s="116"/>
      <c r="B93" s="116"/>
      <c r="C93" s="116"/>
      <c r="D93" s="103"/>
      <c r="E93" s="103"/>
      <c r="F93" s="103"/>
      <c r="G93" s="103"/>
      <c r="H93" s="103"/>
      <c r="I93" s="103"/>
      <c r="J93" s="103"/>
      <c r="K93" s="103"/>
      <c r="L93" s="103"/>
      <c r="M93" s="103"/>
      <c r="N93" s="100"/>
      <c r="O93" s="100"/>
      <c r="P93" s="100"/>
      <c r="Q93" s="101"/>
      <c r="R93" s="100"/>
      <c r="S93" s="100"/>
      <c r="T93" s="100"/>
      <c r="U93" s="100"/>
      <c r="V93" s="100"/>
      <c r="W93" s="100"/>
      <c r="X93" s="100"/>
      <c r="Y93" s="100"/>
      <c r="Z93" s="86"/>
      <c r="AA93" s="86"/>
      <c r="AB93" s="86"/>
      <c r="AC93" s="86"/>
      <c r="AD93" s="86"/>
      <c r="AE93" s="86"/>
      <c r="AF93" s="86"/>
      <c r="AG93" s="86"/>
      <c r="AH93" s="86"/>
    </row>
    <row r="94" spans="1:34">
      <c r="A94" s="116"/>
      <c r="B94" s="116"/>
      <c r="C94" s="116"/>
      <c r="D94" s="103"/>
      <c r="E94" s="103"/>
      <c r="F94" s="103"/>
      <c r="G94" s="103"/>
      <c r="H94" s="103"/>
      <c r="I94" s="103"/>
      <c r="J94" s="103"/>
      <c r="K94" s="103"/>
      <c r="L94" s="103"/>
      <c r="M94" s="103"/>
      <c r="N94" s="100"/>
      <c r="O94" s="100"/>
      <c r="P94" s="100"/>
      <c r="Q94" s="101"/>
      <c r="R94" s="100"/>
      <c r="S94" s="100"/>
      <c r="T94" s="100"/>
      <c r="U94" s="100"/>
      <c r="V94" s="100"/>
      <c r="W94" s="100"/>
      <c r="X94" s="100"/>
      <c r="Y94" s="100"/>
      <c r="Z94" s="86"/>
      <c r="AA94" s="86"/>
      <c r="AB94" s="86"/>
      <c r="AC94" s="86"/>
      <c r="AD94" s="86"/>
      <c r="AE94" s="86"/>
      <c r="AF94" s="86"/>
      <c r="AG94" s="86"/>
      <c r="AH94" s="86"/>
    </row>
    <row r="95" spans="1:34">
      <c r="N95" t="s">
        <v>75</v>
      </c>
      <c r="R95" s="86">
        <f>SUM(R87:U94)</f>
        <v>0</v>
      </c>
      <c r="S95" s="86"/>
      <c r="T95" s="86"/>
      <c r="U95" s="86"/>
      <c r="V95" s="86">
        <f>SUM(V87:Y94)</f>
        <v>0</v>
      </c>
      <c r="W95" s="86"/>
      <c r="X95" s="86"/>
      <c r="Y95" s="86"/>
      <c r="Z95" s="86">
        <f>SUM(Z87:AC94)</f>
        <v>0</v>
      </c>
      <c r="AA95" s="86"/>
      <c r="AB95" s="86"/>
      <c r="AC95" s="86"/>
    </row>
    <row r="96" spans="1:34">
      <c r="R96" s="88" t="s">
        <v>97</v>
      </c>
      <c r="S96" s="88"/>
      <c r="T96" s="88"/>
      <c r="U96" s="88"/>
      <c r="V96" s="88" t="s">
        <v>98</v>
      </c>
      <c r="W96" s="88"/>
      <c r="X96" s="88"/>
      <c r="Y96" s="88"/>
      <c r="Z96" s="88" t="s">
        <v>100</v>
      </c>
      <c r="AA96" s="88"/>
      <c r="AB96" s="88"/>
      <c r="AC96" s="88"/>
    </row>
    <row r="97" spans="1:34" ht="4.5" customHeight="1"/>
    <row r="98" spans="1:34">
      <c r="A98" s="1" t="s">
        <v>101</v>
      </c>
    </row>
    <row r="99" spans="1:34" ht="26.25" customHeight="1">
      <c r="A99" s="87" t="s">
        <v>102</v>
      </c>
      <c r="B99" s="87"/>
      <c r="C99" s="87"/>
      <c r="D99" s="87"/>
      <c r="E99" s="87"/>
      <c r="F99" s="87"/>
      <c r="G99" s="32" t="s">
        <v>103</v>
      </c>
      <c r="H99" s="87" t="s">
        <v>104</v>
      </c>
      <c r="I99" s="87"/>
      <c r="J99" s="87"/>
      <c r="K99" s="87" t="s">
        <v>105</v>
      </c>
      <c r="L99" s="87"/>
      <c r="M99" s="87"/>
      <c r="N99" s="114"/>
      <c r="O99" s="115" t="s">
        <v>106</v>
      </c>
      <c r="P99" s="115"/>
      <c r="Q99" s="115"/>
      <c r="R99" s="115"/>
      <c r="S99" s="115" t="s">
        <v>107</v>
      </c>
      <c r="T99" s="115"/>
      <c r="U99" s="115"/>
      <c r="V99" s="115"/>
      <c r="W99" s="115"/>
      <c r="X99" s="115" t="s">
        <v>108</v>
      </c>
      <c r="Y99" s="115"/>
      <c r="Z99" s="115"/>
      <c r="AA99" s="115"/>
      <c r="AB99" s="115"/>
      <c r="AC99" s="87" t="s">
        <v>109</v>
      </c>
      <c r="AD99" s="87"/>
      <c r="AE99" s="87"/>
      <c r="AF99" s="87"/>
      <c r="AG99" s="87"/>
      <c r="AH99" s="87"/>
    </row>
    <row r="100" spans="1:34">
      <c r="A100" s="87" t="s">
        <v>257</v>
      </c>
      <c r="B100" s="87"/>
      <c r="C100" s="87"/>
      <c r="D100" s="87"/>
      <c r="E100" s="87"/>
      <c r="F100" s="87"/>
      <c r="G100" s="33"/>
      <c r="H100" s="99"/>
      <c r="I100" s="99"/>
      <c r="J100" s="99"/>
      <c r="K100" s="100"/>
      <c r="L100" s="100"/>
      <c r="M100" s="100"/>
      <c r="N100" s="101"/>
      <c r="O100" s="86">
        <v>39600</v>
      </c>
      <c r="P100" s="86"/>
      <c r="Q100" s="86"/>
      <c r="R100" s="86"/>
      <c r="S100" s="86"/>
      <c r="T100" s="86"/>
      <c r="U100" s="86"/>
      <c r="V100" s="86"/>
      <c r="W100" s="86"/>
      <c r="X100" s="86"/>
      <c r="Y100" s="86"/>
      <c r="Z100" s="86"/>
      <c r="AA100" s="86"/>
      <c r="AB100" s="86"/>
      <c r="AC100" s="98"/>
      <c r="AD100" s="98"/>
      <c r="AE100" s="98"/>
      <c r="AF100" s="98"/>
      <c r="AG100" s="98"/>
      <c r="AH100" s="98"/>
    </row>
    <row r="101" spans="1:34">
      <c r="A101" s="87" t="s">
        <v>258</v>
      </c>
      <c r="B101" s="87"/>
      <c r="C101" s="87"/>
      <c r="D101" s="87"/>
      <c r="E101" s="87"/>
      <c r="F101" s="87"/>
      <c r="G101" s="33"/>
      <c r="H101" s="99"/>
      <c r="I101" s="99"/>
      <c r="J101" s="99"/>
      <c r="K101" s="100"/>
      <c r="L101" s="100"/>
      <c r="M101" s="100"/>
      <c r="N101" s="101"/>
      <c r="O101" s="86">
        <v>18000</v>
      </c>
      <c r="P101" s="86"/>
      <c r="Q101" s="86"/>
      <c r="R101" s="86"/>
      <c r="S101" s="86"/>
      <c r="T101" s="86"/>
      <c r="U101" s="86"/>
      <c r="V101" s="86"/>
      <c r="W101" s="86"/>
      <c r="X101" s="86"/>
      <c r="Y101" s="86"/>
      <c r="Z101" s="86"/>
      <c r="AA101" s="86"/>
      <c r="AB101" s="86"/>
      <c r="AC101" s="98"/>
      <c r="AD101" s="98"/>
      <c r="AE101" s="98"/>
      <c r="AF101" s="98"/>
      <c r="AG101" s="98"/>
      <c r="AH101" s="98"/>
    </row>
    <row r="102" spans="1:34">
      <c r="A102" s="87"/>
      <c r="B102" s="87"/>
      <c r="C102" s="87"/>
      <c r="D102" s="87"/>
      <c r="E102" s="87"/>
      <c r="F102" s="87"/>
      <c r="G102" s="33"/>
      <c r="H102" s="99"/>
      <c r="I102" s="99"/>
      <c r="J102" s="99"/>
      <c r="K102" s="100"/>
      <c r="L102" s="100"/>
      <c r="M102" s="100"/>
      <c r="N102" s="101"/>
      <c r="O102" s="86"/>
      <c r="P102" s="86"/>
      <c r="Q102" s="86"/>
      <c r="R102" s="86"/>
      <c r="S102" s="86"/>
      <c r="T102" s="86"/>
      <c r="U102" s="86"/>
      <c r="V102" s="86"/>
      <c r="W102" s="86"/>
      <c r="X102" s="86"/>
      <c r="Y102" s="86"/>
      <c r="Z102" s="86"/>
      <c r="AA102" s="86"/>
      <c r="AB102" s="86"/>
      <c r="AC102" s="98"/>
      <c r="AD102" s="98"/>
      <c r="AE102" s="98"/>
      <c r="AF102" s="98"/>
      <c r="AG102" s="98"/>
      <c r="AH102" s="98"/>
    </row>
    <row r="103" spans="1:34">
      <c r="A103" s="87"/>
      <c r="B103" s="87"/>
      <c r="C103" s="87"/>
      <c r="D103" s="87"/>
      <c r="E103" s="87"/>
      <c r="F103" s="87"/>
      <c r="G103" s="33"/>
      <c r="H103" s="99"/>
      <c r="I103" s="99"/>
      <c r="J103" s="99"/>
      <c r="K103" s="100"/>
      <c r="L103" s="100"/>
      <c r="M103" s="100"/>
      <c r="N103" s="101"/>
      <c r="O103" s="86"/>
      <c r="P103" s="86"/>
      <c r="Q103" s="86"/>
      <c r="R103" s="86"/>
      <c r="S103" s="86"/>
      <c r="T103" s="86"/>
      <c r="U103" s="86"/>
      <c r="V103" s="86"/>
      <c r="W103" s="86"/>
      <c r="X103" s="86"/>
      <c r="Y103" s="86"/>
      <c r="Z103" s="86"/>
      <c r="AA103" s="86"/>
      <c r="AB103" s="86"/>
      <c r="AC103" s="98"/>
      <c r="AD103" s="98"/>
      <c r="AE103" s="98"/>
      <c r="AF103" s="98"/>
      <c r="AG103" s="98"/>
      <c r="AH103" s="98"/>
    </row>
    <row r="104" spans="1:34">
      <c r="K104" t="s">
        <v>75</v>
      </c>
      <c r="O104" s="86">
        <f>SUM(O100:R103)</f>
        <v>57600</v>
      </c>
      <c r="P104" s="86"/>
      <c r="Q104" s="86"/>
      <c r="R104" s="86"/>
      <c r="S104" s="86">
        <f>SUM(S100:W103)</f>
        <v>0</v>
      </c>
      <c r="T104" s="86"/>
      <c r="U104" s="86"/>
      <c r="V104" s="86"/>
      <c r="W104" s="86"/>
      <c r="X104" s="86">
        <f>SUM(X100:AB103)</f>
        <v>0</v>
      </c>
      <c r="Y104" s="86"/>
      <c r="Z104" s="86"/>
      <c r="AA104" s="86"/>
      <c r="AB104" s="86"/>
    </row>
    <row r="105" spans="1:34">
      <c r="O105" s="88" t="s">
        <v>110</v>
      </c>
      <c r="P105" s="88"/>
      <c r="Q105" s="88"/>
      <c r="R105" s="88"/>
      <c r="S105" s="88" t="s">
        <v>112</v>
      </c>
      <c r="T105" s="88"/>
      <c r="U105" s="88"/>
      <c r="V105" s="88"/>
      <c r="W105" s="88"/>
      <c r="X105" s="88" t="s">
        <v>113</v>
      </c>
      <c r="Y105" s="88"/>
      <c r="Z105" s="88"/>
      <c r="AA105" s="88"/>
      <c r="AB105" s="88"/>
    </row>
    <row r="106" spans="1:34" ht="4.5" customHeight="1"/>
    <row r="107" spans="1:34">
      <c r="A107" s="1" t="s">
        <v>225</v>
      </c>
    </row>
    <row r="108" spans="1:34">
      <c r="A108" s="83"/>
      <c r="B108" s="84"/>
      <c r="C108" s="84"/>
      <c r="D108" s="84"/>
      <c r="E108" s="85"/>
      <c r="F108" s="37"/>
      <c r="G108" s="83"/>
      <c r="H108" s="84"/>
      <c r="I108" s="84"/>
      <c r="J108" s="84"/>
      <c r="K108" s="84"/>
      <c r="L108" s="84"/>
      <c r="M108" s="85"/>
      <c r="N108" s="89" t="s">
        <v>114</v>
      </c>
      <c r="O108" s="90"/>
      <c r="P108" s="91"/>
      <c r="Q108" s="89" t="s">
        <v>115</v>
      </c>
      <c r="R108" s="90"/>
      <c r="S108" s="91"/>
      <c r="T108" s="92" t="s">
        <v>116</v>
      </c>
      <c r="U108" s="93"/>
      <c r="V108" s="94"/>
      <c r="W108" s="87" t="s">
        <v>117</v>
      </c>
      <c r="X108" s="87"/>
      <c r="Y108" s="87"/>
      <c r="Z108" s="87"/>
      <c r="AA108" s="87"/>
      <c r="AB108" s="87"/>
      <c r="AC108" s="87"/>
      <c r="AD108" s="87"/>
      <c r="AE108" s="87"/>
      <c r="AF108" s="87"/>
      <c r="AG108" s="87"/>
      <c r="AH108" s="87"/>
    </row>
    <row r="109" spans="1:34">
      <c r="A109" s="105" t="s">
        <v>118</v>
      </c>
      <c r="B109" s="106"/>
      <c r="C109" s="106"/>
      <c r="D109" s="106"/>
      <c r="E109" s="107"/>
      <c r="F109" s="38" t="s">
        <v>103</v>
      </c>
      <c r="G109" s="105" t="s">
        <v>119</v>
      </c>
      <c r="H109" s="106"/>
      <c r="I109" s="106"/>
      <c r="J109" s="106"/>
      <c r="K109" s="106"/>
      <c r="L109" s="106"/>
      <c r="M109" s="107"/>
      <c r="N109" s="108" t="s">
        <v>120</v>
      </c>
      <c r="O109" s="109"/>
      <c r="P109" s="110"/>
      <c r="Q109" s="105" t="s">
        <v>92</v>
      </c>
      <c r="R109" s="106"/>
      <c r="S109" s="107"/>
      <c r="T109" s="111" t="s">
        <v>121</v>
      </c>
      <c r="U109" s="112"/>
      <c r="V109" s="113"/>
      <c r="W109" s="87" t="s">
        <v>122</v>
      </c>
      <c r="X109" s="87"/>
      <c r="Y109" s="87"/>
      <c r="Z109" s="104" t="s">
        <v>123</v>
      </c>
      <c r="AA109" s="104"/>
      <c r="AB109" s="104"/>
      <c r="AC109" s="104" t="s">
        <v>124</v>
      </c>
      <c r="AD109" s="104"/>
      <c r="AE109" s="104"/>
      <c r="AF109" s="104"/>
      <c r="AG109" s="104"/>
      <c r="AH109" s="104"/>
    </row>
    <row r="110" spans="1:34">
      <c r="A110" s="87" t="s">
        <v>251</v>
      </c>
      <c r="B110" s="87"/>
      <c r="C110" s="87"/>
      <c r="D110" s="87"/>
      <c r="E110" s="87"/>
      <c r="F110" s="32"/>
      <c r="G110" s="103" t="s">
        <v>253</v>
      </c>
      <c r="H110" s="103"/>
      <c r="I110" s="103"/>
      <c r="J110" s="103"/>
      <c r="K110" s="103"/>
      <c r="L110" s="103"/>
      <c r="M110" s="103"/>
      <c r="N110" s="255"/>
      <c r="O110" s="256"/>
      <c r="P110" s="256"/>
      <c r="Q110" s="257">
        <v>0</v>
      </c>
      <c r="R110" s="257"/>
      <c r="S110" s="257"/>
      <c r="T110" s="102"/>
      <c r="U110" s="102"/>
      <c r="V110" s="102"/>
      <c r="W110" s="102"/>
      <c r="X110" s="102"/>
      <c r="Y110" s="102"/>
      <c r="Z110" s="102"/>
      <c r="AA110" s="102"/>
      <c r="AB110" s="102"/>
      <c r="AC110" s="87"/>
      <c r="AD110" s="87"/>
      <c r="AE110" s="87"/>
      <c r="AF110" s="87"/>
      <c r="AG110" s="87"/>
      <c r="AH110" s="87"/>
    </row>
    <row r="111" spans="1:34">
      <c r="A111" s="87"/>
      <c r="B111" s="87"/>
      <c r="C111" s="87"/>
      <c r="D111" s="87"/>
      <c r="E111" s="87"/>
      <c r="F111" s="32"/>
      <c r="G111" s="103" t="s">
        <v>255</v>
      </c>
      <c r="H111" s="103"/>
      <c r="I111" s="103"/>
      <c r="J111" s="103"/>
      <c r="K111" s="103"/>
      <c r="L111" s="103"/>
      <c r="M111" s="103"/>
      <c r="N111" s="255">
        <v>2011</v>
      </c>
      <c r="O111" s="256"/>
      <c r="P111" s="256"/>
      <c r="Q111" s="102"/>
      <c r="R111" s="102"/>
      <c r="S111" s="102"/>
      <c r="T111" s="102">
        <v>576000</v>
      </c>
      <c r="U111" s="102"/>
      <c r="V111" s="102"/>
      <c r="W111" s="102">
        <v>456000</v>
      </c>
      <c r="X111" s="102"/>
      <c r="Y111" s="102"/>
      <c r="Z111" s="258">
        <v>3724</v>
      </c>
      <c r="AA111" s="258"/>
      <c r="AB111" s="258"/>
      <c r="AC111" s="87" t="s">
        <v>219</v>
      </c>
      <c r="AD111" s="87"/>
      <c r="AE111" s="87"/>
      <c r="AF111" s="87"/>
      <c r="AG111" s="87"/>
      <c r="AH111" s="87"/>
    </row>
    <row r="112" spans="1:34">
      <c r="A112" s="87" t="s">
        <v>251</v>
      </c>
      <c r="B112" s="87"/>
      <c r="C112" s="87"/>
      <c r="D112" s="87"/>
      <c r="E112" s="87"/>
      <c r="F112" s="32"/>
      <c r="G112" s="103" t="s">
        <v>254</v>
      </c>
      <c r="H112" s="103"/>
      <c r="I112" s="103"/>
      <c r="J112" s="103"/>
      <c r="K112" s="103"/>
      <c r="L112" s="103"/>
      <c r="M112" s="103"/>
      <c r="N112" s="253" t="s">
        <v>229</v>
      </c>
      <c r="O112" s="254"/>
      <c r="P112" s="254"/>
      <c r="Q112" s="102">
        <v>80000</v>
      </c>
      <c r="R112" s="102"/>
      <c r="S112" s="102"/>
      <c r="T112" s="102">
        <v>95000</v>
      </c>
      <c r="U112" s="102"/>
      <c r="V112" s="102"/>
      <c r="W112" s="102">
        <v>61000</v>
      </c>
      <c r="X112" s="102"/>
      <c r="Y112" s="102"/>
      <c r="Z112" s="258">
        <v>781</v>
      </c>
      <c r="AA112" s="258"/>
      <c r="AB112" s="258"/>
      <c r="AC112" s="87" t="s">
        <v>219</v>
      </c>
      <c r="AD112" s="87"/>
      <c r="AE112" s="87"/>
      <c r="AF112" s="87"/>
      <c r="AG112" s="87"/>
      <c r="AH112" s="87"/>
    </row>
    <row r="113" spans="1:34">
      <c r="A113" s="87" t="s">
        <v>251</v>
      </c>
      <c r="B113" s="87"/>
      <c r="C113" s="87"/>
      <c r="D113" s="87"/>
      <c r="E113" s="87"/>
      <c r="F113" s="32"/>
      <c r="G113" s="103" t="s">
        <v>250</v>
      </c>
      <c r="H113" s="103"/>
      <c r="I113" s="103"/>
      <c r="J113" s="103"/>
      <c r="K113" s="103"/>
      <c r="L113" s="103"/>
      <c r="M113" s="103"/>
      <c r="N113" s="255">
        <v>2009</v>
      </c>
      <c r="O113" s="256"/>
      <c r="P113" s="256"/>
      <c r="Q113" s="102">
        <v>130000</v>
      </c>
      <c r="R113" s="102"/>
      <c r="S113" s="102"/>
      <c r="T113" s="102">
        <v>185000</v>
      </c>
      <c r="U113" s="102"/>
      <c r="V113" s="102"/>
      <c r="W113" s="102">
        <v>90000</v>
      </c>
      <c r="X113" s="102"/>
      <c r="Y113" s="102"/>
      <c r="Z113" s="258">
        <v>1200</v>
      </c>
      <c r="AA113" s="258"/>
      <c r="AB113" s="258"/>
      <c r="AC113" s="87" t="s">
        <v>252</v>
      </c>
      <c r="AD113" s="87"/>
      <c r="AE113" s="87"/>
      <c r="AF113" s="87"/>
      <c r="AG113" s="87"/>
      <c r="AH113" s="87"/>
    </row>
    <row r="114" spans="1:34">
      <c r="Q114" t="s">
        <v>75</v>
      </c>
      <c r="T114" s="102">
        <f>SUM(T110:V113)</f>
        <v>856000</v>
      </c>
      <c r="U114" s="102"/>
      <c r="V114" s="102"/>
      <c r="W114" s="102">
        <f>SUM(W110:Y113)</f>
        <v>607000</v>
      </c>
      <c r="X114" s="102"/>
      <c r="Y114" s="102"/>
      <c r="Z114" s="8"/>
      <c r="AA114" s="8"/>
      <c r="AB114" s="8"/>
    </row>
    <row r="115" spans="1:34">
      <c r="T115" s="88" t="s">
        <v>125</v>
      </c>
      <c r="U115" s="88"/>
      <c r="V115" s="88"/>
      <c r="W115" s="88" t="s">
        <v>196</v>
      </c>
      <c r="X115" s="88"/>
      <c r="Y115" s="88"/>
      <c r="Z115" s="36"/>
      <c r="AA115" s="36"/>
      <c r="AB115" s="36"/>
    </row>
    <row r="116" spans="1:34" ht="4.5" customHeight="1"/>
    <row r="117" spans="1:34">
      <c r="A117" s="1" t="s">
        <v>127</v>
      </c>
    </row>
    <row r="118" spans="1:34">
      <c r="A118" s="39"/>
      <c r="B118" s="40"/>
      <c r="C118" s="39"/>
      <c r="D118" s="40"/>
      <c r="E118" s="37"/>
      <c r="F118" s="114" t="s">
        <v>128</v>
      </c>
      <c r="G118" s="189"/>
      <c r="H118" s="189"/>
      <c r="I118" s="189"/>
      <c r="J118" s="189"/>
      <c r="K118" s="189"/>
      <c r="L118" s="189"/>
      <c r="M118" s="189"/>
      <c r="N118" s="189"/>
      <c r="O118" s="190"/>
      <c r="P118" s="39"/>
      <c r="Q118" s="41"/>
      <c r="R118" s="41"/>
      <c r="S118" s="41"/>
      <c r="T118" s="41"/>
      <c r="U118" s="40"/>
      <c r="V118" s="89" t="s">
        <v>129</v>
      </c>
      <c r="W118" s="90"/>
      <c r="X118" s="91"/>
      <c r="Y118" s="39"/>
      <c r="Z118" s="41"/>
      <c r="AA118" s="40"/>
      <c r="AB118" s="39"/>
      <c r="AC118" s="41"/>
      <c r="AD118" s="40"/>
      <c r="AE118" s="39"/>
      <c r="AF118" s="41"/>
      <c r="AG118" s="41"/>
      <c r="AH118" s="40"/>
    </row>
    <row r="119" spans="1:34">
      <c r="A119" s="105" t="s">
        <v>130</v>
      </c>
      <c r="B119" s="107"/>
      <c r="C119" s="241" t="s">
        <v>131</v>
      </c>
      <c r="D119" s="242"/>
      <c r="E119" s="38" t="s">
        <v>103</v>
      </c>
      <c r="F119" s="114" t="s">
        <v>4</v>
      </c>
      <c r="G119" s="189"/>
      <c r="H119" s="189"/>
      <c r="I119" s="189"/>
      <c r="J119" s="190"/>
      <c r="K119" s="114" t="s">
        <v>6</v>
      </c>
      <c r="L119" s="189"/>
      <c r="M119" s="189"/>
      <c r="N119" s="189"/>
      <c r="O119" s="190"/>
      <c r="P119" s="105" t="s">
        <v>132</v>
      </c>
      <c r="Q119" s="106"/>
      <c r="R119" s="106"/>
      <c r="S119" s="106"/>
      <c r="T119" s="106"/>
      <c r="U119" s="107"/>
      <c r="V119" s="105" t="s">
        <v>114</v>
      </c>
      <c r="W119" s="106"/>
      <c r="X119" s="107"/>
      <c r="Y119" s="105" t="s">
        <v>123</v>
      </c>
      <c r="Z119" s="106"/>
      <c r="AA119" s="107"/>
      <c r="AB119" s="105" t="s">
        <v>133</v>
      </c>
      <c r="AC119" s="106"/>
      <c r="AD119" s="107"/>
      <c r="AE119" s="105" t="s">
        <v>134</v>
      </c>
      <c r="AF119" s="106"/>
      <c r="AG119" s="106"/>
      <c r="AH119" s="107"/>
    </row>
    <row r="120" spans="1:34">
      <c r="A120" s="103"/>
      <c r="B120" s="103"/>
      <c r="C120" s="103"/>
      <c r="D120" s="103"/>
      <c r="E120" s="32"/>
      <c r="F120" s="103"/>
      <c r="G120" s="103"/>
      <c r="H120" s="103"/>
      <c r="I120" s="103"/>
      <c r="J120" s="103"/>
      <c r="K120" s="103"/>
      <c r="L120" s="103"/>
      <c r="M120" s="103"/>
      <c r="N120" s="103"/>
      <c r="O120" s="103"/>
      <c r="P120" s="103"/>
      <c r="Q120" s="103"/>
      <c r="R120" s="103"/>
      <c r="S120" s="103"/>
      <c r="T120" s="103"/>
      <c r="U120" s="103"/>
      <c r="V120" s="99"/>
      <c r="W120" s="99"/>
      <c r="X120" s="99"/>
      <c r="Y120" s="243"/>
      <c r="Z120" s="243"/>
      <c r="AA120" s="243"/>
      <c r="AB120" s="99"/>
      <c r="AC120" s="99"/>
      <c r="AD120" s="99"/>
      <c r="AE120" s="86"/>
      <c r="AF120" s="86"/>
      <c r="AG120" s="86"/>
      <c r="AH120" s="86"/>
    </row>
    <row r="121" spans="1:34">
      <c r="A121" s="103"/>
      <c r="B121" s="103"/>
      <c r="C121" s="103"/>
      <c r="D121" s="103"/>
      <c r="E121" s="32"/>
      <c r="F121" s="103"/>
      <c r="G121" s="103"/>
      <c r="H121" s="103"/>
      <c r="I121" s="103"/>
      <c r="J121" s="103"/>
      <c r="K121" s="103"/>
      <c r="L121" s="103"/>
      <c r="M121" s="103"/>
      <c r="N121" s="103"/>
      <c r="O121" s="103"/>
      <c r="P121" s="103"/>
      <c r="Q121" s="103"/>
      <c r="R121" s="103"/>
      <c r="S121" s="103"/>
      <c r="T121" s="103"/>
      <c r="U121" s="103"/>
      <c r="V121" s="99"/>
      <c r="W121" s="99"/>
      <c r="X121" s="99"/>
      <c r="Y121" s="243"/>
      <c r="Z121" s="243"/>
      <c r="AA121" s="243"/>
      <c r="AB121" s="99"/>
      <c r="AC121" s="99"/>
      <c r="AD121" s="99"/>
      <c r="AE121" s="86"/>
      <c r="AF121" s="86"/>
      <c r="AG121" s="86"/>
      <c r="AH121" s="86"/>
    </row>
    <row r="122" spans="1:34">
      <c r="A122" s="103"/>
      <c r="B122" s="103"/>
      <c r="C122" s="103"/>
      <c r="D122" s="103"/>
      <c r="E122" s="32"/>
      <c r="F122" s="103"/>
      <c r="G122" s="103"/>
      <c r="H122" s="103"/>
      <c r="I122" s="103"/>
      <c r="J122" s="103"/>
      <c r="K122" s="103"/>
      <c r="L122" s="103"/>
      <c r="M122" s="103"/>
      <c r="N122" s="103"/>
      <c r="O122" s="103"/>
      <c r="P122" s="103"/>
      <c r="Q122" s="103"/>
      <c r="R122" s="103"/>
      <c r="S122" s="103"/>
      <c r="T122" s="103"/>
      <c r="U122" s="103"/>
      <c r="V122" s="99"/>
      <c r="W122" s="99"/>
      <c r="X122" s="99"/>
      <c r="Y122" s="243"/>
      <c r="Z122" s="243"/>
      <c r="AA122" s="243"/>
      <c r="AB122" s="99"/>
      <c r="AC122" s="99"/>
      <c r="AD122" s="99"/>
      <c r="AE122" s="86"/>
      <c r="AF122" s="86"/>
      <c r="AG122" s="86"/>
      <c r="AH122" s="86"/>
    </row>
    <row r="123" spans="1:34">
      <c r="A123" s="103"/>
      <c r="B123" s="103"/>
      <c r="C123" s="103"/>
      <c r="D123" s="103"/>
      <c r="E123" s="32"/>
      <c r="F123" s="103"/>
      <c r="G123" s="103"/>
      <c r="H123" s="103"/>
      <c r="I123" s="103"/>
      <c r="J123" s="103"/>
      <c r="K123" s="103"/>
      <c r="L123" s="103"/>
      <c r="M123" s="103"/>
      <c r="N123" s="103"/>
      <c r="O123" s="103"/>
      <c r="P123" s="103"/>
      <c r="Q123" s="103"/>
      <c r="R123" s="103"/>
      <c r="S123" s="103"/>
      <c r="T123" s="103"/>
      <c r="U123" s="103"/>
      <c r="V123" s="99"/>
      <c r="W123" s="99"/>
      <c r="X123" s="99"/>
      <c r="Y123" s="243"/>
      <c r="Z123" s="243"/>
      <c r="AA123" s="243"/>
      <c r="AB123" s="99"/>
      <c r="AC123" s="99"/>
      <c r="AD123" s="99"/>
      <c r="AE123" s="86"/>
      <c r="AF123" s="86"/>
      <c r="AG123" s="86"/>
      <c r="AH123" s="86"/>
    </row>
    <row r="124" spans="1:34">
      <c r="AB124" t="s">
        <v>28</v>
      </c>
      <c r="AE124" s="86">
        <f>SUM(AE120:AH123)</f>
        <v>0</v>
      </c>
      <c r="AF124" s="86"/>
      <c r="AG124" s="86"/>
      <c r="AH124" s="86"/>
    </row>
    <row r="125" spans="1:34">
      <c r="AE125" s="88" t="s">
        <v>136</v>
      </c>
      <c r="AF125" s="88"/>
      <c r="AG125" s="88"/>
      <c r="AH125" s="88"/>
    </row>
    <row r="126" spans="1:34" ht="4.5" customHeight="1"/>
    <row r="127" spans="1:34">
      <c r="A127" s="1" t="s">
        <v>145</v>
      </c>
    </row>
    <row r="128" spans="1:34">
      <c r="A128" s="39"/>
      <c r="B128" s="41"/>
      <c r="C128" s="41"/>
      <c r="D128" s="41"/>
      <c r="E128" s="41"/>
      <c r="F128" s="41"/>
      <c r="G128" s="41"/>
      <c r="H128" s="41"/>
      <c r="I128" s="41"/>
      <c r="J128" s="41"/>
      <c r="K128" s="40"/>
      <c r="L128" s="37"/>
      <c r="M128" s="89" t="s">
        <v>114</v>
      </c>
      <c r="N128" s="90"/>
      <c r="O128" s="90"/>
      <c r="P128" s="91"/>
      <c r="Q128" s="89" t="s">
        <v>92</v>
      </c>
      <c r="R128" s="90"/>
      <c r="S128" s="90"/>
      <c r="T128" s="91"/>
      <c r="U128" s="89" t="s">
        <v>139</v>
      </c>
      <c r="V128" s="90"/>
      <c r="W128" s="90"/>
      <c r="X128" s="91"/>
      <c r="Y128" s="114" t="s">
        <v>140</v>
      </c>
      <c r="Z128" s="189"/>
      <c r="AA128" s="189"/>
      <c r="AB128" s="189"/>
      <c r="AC128" s="189"/>
      <c r="AD128" s="189"/>
      <c r="AE128" s="189"/>
      <c r="AF128" s="189"/>
      <c r="AG128" s="189"/>
      <c r="AH128" s="190"/>
    </row>
    <row r="129" spans="1:34">
      <c r="A129" s="105" t="s">
        <v>141</v>
      </c>
      <c r="B129" s="106"/>
      <c r="C129" s="106"/>
      <c r="D129" s="106"/>
      <c r="E129" s="106"/>
      <c r="F129" s="106"/>
      <c r="G129" s="106"/>
      <c r="H129" s="106"/>
      <c r="I129" s="106"/>
      <c r="J129" s="106"/>
      <c r="K129" s="107"/>
      <c r="L129" s="38" t="s">
        <v>103</v>
      </c>
      <c r="M129" s="105" t="s">
        <v>142</v>
      </c>
      <c r="N129" s="106"/>
      <c r="O129" s="106"/>
      <c r="P129" s="107"/>
      <c r="Q129" s="105" t="s">
        <v>142</v>
      </c>
      <c r="R129" s="106"/>
      <c r="S129" s="106"/>
      <c r="T129" s="107"/>
      <c r="U129" s="105" t="s">
        <v>143</v>
      </c>
      <c r="V129" s="106"/>
      <c r="W129" s="106"/>
      <c r="X129" s="107"/>
      <c r="Y129" s="114" t="s">
        <v>134</v>
      </c>
      <c r="Z129" s="189"/>
      <c r="AA129" s="189"/>
      <c r="AB129" s="190"/>
      <c r="AC129" s="114" t="s">
        <v>124</v>
      </c>
      <c r="AD129" s="189"/>
      <c r="AE129" s="189"/>
      <c r="AF129" s="189"/>
      <c r="AG129" s="189"/>
      <c r="AH129" s="190"/>
    </row>
    <row r="130" spans="1:34">
      <c r="A130" s="103" t="s">
        <v>235</v>
      </c>
      <c r="B130" s="103"/>
      <c r="C130" s="103"/>
      <c r="D130" s="103"/>
      <c r="E130" s="103"/>
      <c r="F130" s="103"/>
      <c r="G130" s="103"/>
      <c r="H130" s="103"/>
      <c r="I130" s="103"/>
      <c r="J130" s="103"/>
      <c r="K130" s="103"/>
      <c r="L130" s="32"/>
      <c r="M130" s="255">
        <v>1972</v>
      </c>
      <c r="N130" s="256"/>
      <c r="O130" s="256"/>
      <c r="P130" s="256"/>
      <c r="Q130" s="100"/>
      <c r="R130" s="100"/>
      <c r="S130" s="100"/>
      <c r="T130" s="100"/>
      <c r="U130" s="100">
        <v>40000</v>
      </c>
      <c r="V130" s="100"/>
      <c r="W130" s="100"/>
      <c r="X130" s="100"/>
      <c r="Y130" s="86">
        <v>0</v>
      </c>
      <c r="Z130" s="86"/>
      <c r="AA130" s="86"/>
      <c r="AB130" s="86"/>
      <c r="AC130" s="103"/>
      <c r="AD130" s="103"/>
      <c r="AE130" s="103"/>
      <c r="AF130" s="103"/>
      <c r="AG130" s="103"/>
      <c r="AH130" s="103"/>
    </row>
    <row r="131" spans="1:34">
      <c r="A131" s="103" t="s">
        <v>236</v>
      </c>
      <c r="B131" s="103"/>
      <c r="C131" s="103"/>
      <c r="D131" s="103"/>
      <c r="E131" s="103"/>
      <c r="F131" s="103"/>
      <c r="G131" s="103"/>
      <c r="H131" s="103"/>
      <c r="I131" s="103"/>
      <c r="J131" s="103"/>
      <c r="K131" s="103"/>
      <c r="L131" s="32"/>
      <c r="M131" s="255">
        <v>2005</v>
      </c>
      <c r="N131" s="256"/>
      <c r="O131" s="256"/>
      <c r="P131" s="256"/>
      <c r="Q131" s="100">
        <v>35000</v>
      </c>
      <c r="R131" s="100"/>
      <c r="S131" s="100"/>
      <c r="T131" s="100"/>
      <c r="U131" s="100">
        <v>20000</v>
      </c>
      <c r="V131" s="100"/>
      <c r="W131" s="100"/>
      <c r="X131" s="100"/>
      <c r="Y131" s="86">
        <v>0</v>
      </c>
      <c r="Z131" s="86"/>
      <c r="AA131" s="86"/>
      <c r="AB131" s="86"/>
      <c r="AC131" s="103"/>
      <c r="AD131" s="103"/>
      <c r="AE131" s="103"/>
      <c r="AF131" s="103"/>
      <c r="AG131" s="103"/>
      <c r="AH131" s="103"/>
    </row>
    <row r="132" spans="1:34">
      <c r="A132" s="103" t="s">
        <v>237</v>
      </c>
      <c r="B132" s="103"/>
      <c r="C132" s="103"/>
      <c r="D132" s="103"/>
      <c r="E132" s="103"/>
      <c r="F132" s="103"/>
      <c r="G132" s="103"/>
      <c r="H132" s="103"/>
      <c r="I132" s="103"/>
      <c r="J132" s="103"/>
      <c r="K132" s="103"/>
      <c r="L132" s="32"/>
      <c r="M132" s="255">
        <v>2002</v>
      </c>
      <c r="N132" s="256"/>
      <c r="O132" s="256"/>
      <c r="P132" s="256"/>
      <c r="Q132" s="100">
        <v>22000</v>
      </c>
      <c r="R132" s="100"/>
      <c r="S132" s="100"/>
      <c r="T132" s="100"/>
      <c r="U132" s="100">
        <v>15000</v>
      </c>
      <c r="V132" s="100"/>
      <c r="W132" s="100"/>
      <c r="X132" s="100"/>
      <c r="Y132" s="86"/>
      <c r="Z132" s="86"/>
      <c r="AA132" s="86"/>
      <c r="AB132" s="86"/>
      <c r="AC132" s="103"/>
      <c r="AD132" s="103"/>
      <c r="AE132" s="103"/>
      <c r="AF132" s="103"/>
      <c r="AG132" s="103"/>
      <c r="AH132" s="103"/>
    </row>
    <row r="133" spans="1:34">
      <c r="A133" s="103" t="s">
        <v>238</v>
      </c>
      <c r="B133" s="103"/>
      <c r="C133" s="103"/>
      <c r="D133" s="103"/>
      <c r="E133" s="103"/>
      <c r="F133" s="103"/>
      <c r="G133" s="103"/>
      <c r="H133" s="103"/>
      <c r="I133" s="103"/>
      <c r="J133" s="103"/>
      <c r="K133" s="103"/>
      <c r="L133" s="32"/>
      <c r="M133" s="256">
        <v>1991</v>
      </c>
      <c r="N133" s="256"/>
      <c r="O133" s="256"/>
      <c r="P133" s="256"/>
      <c r="Q133" s="100"/>
      <c r="R133" s="100"/>
      <c r="S133" s="100"/>
      <c r="T133" s="100"/>
      <c r="U133" s="100">
        <v>10000</v>
      </c>
      <c r="V133" s="100"/>
      <c r="W133" s="100"/>
      <c r="X133" s="100"/>
      <c r="Y133" s="86"/>
      <c r="Z133" s="86"/>
      <c r="AA133" s="86"/>
      <c r="AB133" s="86"/>
      <c r="AC133" s="103"/>
      <c r="AD133" s="103"/>
      <c r="AE133" s="103"/>
      <c r="AF133" s="103"/>
      <c r="AG133" s="103"/>
      <c r="AH133" s="103"/>
    </row>
    <row r="134" spans="1:34">
      <c r="R134" s="42" t="s">
        <v>28</v>
      </c>
      <c r="U134" s="100">
        <f>SUM(U130:X133)</f>
        <v>85000</v>
      </c>
      <c r="V134" s="100"/>
      <c r="W134" s="100"/>
      <c r="X134" s="100"/>
      <c r="Y134" s="100">
        <f>SUM(Y130:AB133)</f>
        <v>0</v>
      </c>
      <c r="Z134" s="100"/>
      <c r="AA134" s="100"/>
      <c r="AB134" s="100"/>
      <c r="AC134" s="44"/>
      <c r="AD134" s="44"/>
      <c r="AE134" s="44"/>
      <c r="AF134" s="44"/>
      <c r="AG134" s="44"/>
      <c r="AH134" s="44"/>
    </row>
    <row r="135" spans="1:34">
      <c r="U135" s="88" t="s">
        <v>137</v>
      </c>
      <c r="V135" s="88"/>
      <c r="W135" s="88"/>
      <c r="X135" s="88"/>
      <c r="Y135" s="88" t="s">
        <v>195</v>
      </c>
      <c r="Z135" s="88"/>
      <c r="AA135" s="88"/>
      <c r="AB135" s="88"/>
    </row>
    <row r="136" spans="1:34" ht="4.5" customHeight="1"/>
    <row r="137" spans="1:34">
      <c r="A137" s="1" t="s">
        <v>175</v>
      </c>
    </row>
    <row r="138" spans="1:34">
      <c r="A138" s="45"/>
      <c r="B138" s="45"/>
      <c r="C138" s="45"/>
      <c r="D138" s="45"/>
      <c r="E138" s="45"/>
      <c r="F138" s="45"/>
      <c r="G138" s="45"/>
      <c r="H138" s="45"/>
      <c r="I138" s="45"/>
      <c r="J138" s="45"/>
      <c r="K138" s="45"/>
      <c r="L138" s="45"/>
      <c r="N138" s="45"/>
      <c r="O138" s="45"/>
      <c r="P138" s="45"/>
      <c r="Q138" s="114" t="s">
        <v>146</v>
      </c>
      <c r="R138" s="189"/>
      <c r="S138" s="189"/>
      <c r="T138" s="189"/>
      <c r="U138" s="189"/>
      <c r="V138" s="189"/>
      <c r="W138" s="189"/>
      <c r="X138" s="190"/>
      <c r="Y138" s="2"/>
      <c r="Z138" s="2"/>
      <c r="AA138" s="2"/>
      <c r="AB138" s="2"/>
      <c r="AC138" s="2"/>
      <c r="AD138" s="2"/>
      <c r="AE138" s="2"/>
      <c r="AF138" s="2"/>
      <c r="AG138" s="2"/>
      <c r="AH138" s="2"/>
    </row>
    <row r="139" spans="1:34">
      <c r="A139" s="39"/>
      <c r="B139" s="41"/>
      <c r="C139" s="41"/>
      <c r="D139" s="41"/>
      <c r="E139" s="41"/>
      <c r="F139" s="41"/>
      <c r="G139" s="41"/>
      <c r="H139" s="41"/>
      <c r="I139" s="41"/>
      <c r="J139" s="41"/>
      <c r="K139" s="40"/>
      <c r="L139" s="37"/>
      <c r="M139" s="89" t="s">
        <v>114</v>
      </c>
      <c r="N139" s="90"/>
      <c r="O139" s="90"/>
      <c r="P139" s="91"/>
      <c r="Q139" s="92" t="s">
        <v>149</v>
      </c>
      <c r="R139" s="93"/>
      <c r="S139" s="93"/>
      <c r="T139" s="94"/>
      <c r="U139" s="89" t="s">
        <v>147</v>
      </c>
      <c r="V139" s="90"/>
      <c r="W139" s="90"/>
      <c r="X139" s="91"/>
      <c r="Y139" s="114" t="s">
        <v>151</v>
      </c>
      <c r="Z139" s="189"/>
      <c r="AA139" s="189"/>
      <c r="AB139" s="189"/>
      <c r="AC139" s="189"/>
      <c r="AD139" s="189"/>
      <c r="AE139" s="189"/>
      <c r="AF139" s="189"/>
      <c r="AG139" s="189"/>
      <c r="AH139" s="190"/>
    </row>
    <row r="140" spans="1:34">
      <c r="A140" s="105" t="s">
        <v>141</v>
      </c>
      <c r="B140" s="106"/>
      <c r="C140" s="106"/>
      <c r="D140" s="106"/>
      <c r="E140" s="106"/>
      <c r="F140" s="106"/>
      <c r="G140" s="106"/>
      <c r="H140" s="106"/>
      <c r="I140" s="106"/>
      <c r="J140" s="106"/>
      <c r="K140" s="107"/>
      <c r="L140" s="38" t="s">
        <v>103</v>
      </c>
      <c r="M140" s="105" t="s">
        <v>142</v>
      </c>
      <c r="N140" s="106"/>
      <c r="O140" s="106"/>
      <c r="P140" s="107"/>
      <c r="Q140" s="105" t="s">
        <v>150</v>
      </c>
      <c r="R140" s="106"/>
      <c r="S140" s="106"/>
      <c r="T140" s="107"/>
      <c r="U140" s="105" t="s">
        <v>148</v>
      </c>
      <c r="V140" s="106"/>
      <c r="W140" s="106"/>
      <c r="X140" s="107"/>
      <c r="Y140" s="114" t="s">
        <v>134</v>
      </c>
      <c r="Z140" s="189"/>
      <c r="AA140" s="189"/>
      <c r="AB140" s="190"/>
      <c r="AC140" s="114" t="s">
        <v>124</v>
      </c>
      <c r="AD140" s="189"/>
      <c r="AE140" s="189"/>
      <c r="AF140" s="189"/>
      <c r="AG140" s="189"/>
      <c r="AH140" s="190"/>
    </row>
    <row r="141" spans="1:34">
      <c r="A141" s="103" t="s">
        <v>239</v>
      </c>
      <c r="B141" s="103"/>
      <c r="C141" s="103"/>
      <c r="D141" s="103"/>
      <c r="E141" s="103"/>
      <c r="F141" s="103"/>
      <c r="G141" s="103"/>
      <c r="H141" s="103"/>
      <c r="I141" s="103"/>
      <c r="J141" s="103"/>
      <c r="K141" s="103"/>
      <c r="L141" s="32"/>
      <c r="M141" s="256">
        <v>1981</v>
      </c>
      <c r="N141" s="256"/>
      <c r="O141" s="256"/>
      <c r="P141" s="256"/>
      <c r="Q141" s="86">
        <v>10000</v>
      </c>
      <c r="R141" s="86"/>
      <c r="S141" s="86"/>
      <c r="T141" s="86"/>
      <c r="U141" s="86"/>
      <c r="V141" s="86"/>
      <c r="W141" s="86"/>
      <c r="X141" s="86"/>
      <c r="Y141" s="86"/>
      <c r="Z141" s="86"/>
      <c r="AA141" s="86"/>
      <c r="AB141" s="86"/>
      <c r="AC141" s="103"/>
      <c r="AD141" s="103"/>
      <c r="AE141" s="103"/>
      <c r="AF141" s="103"/>
      <c r="AG141" s="103"/>
      <c r="AH141" s="103"/>
    </row>
    <row r="142" spans="1:34">
      <c r="A142" s="103" t="s">
        <v>240</v>
      </c>
      <c r="B142" s="103"/>
      <c r="C142" s="103"/>
      <c r="D142" s="103"/>
      <c r="E142" s="103"/>
      <c r="F142" s="103"/>
      <c r="G142" s="103"/>
      <c r="H142" s="103"/>
      <c r="I142" s="103"/>
      <c r="J142" s="103"/>
      <c r="K142" s="103"/>
      <c r="L142" s="32"/>
      <c r="M142" s="256">
        <v>1983</v>
      </c>
      <c r="N142" s="256"/>
      <c r="O142" s="256"/>
      <c r="P142" s="256"/>
      <c r="Q142" s="86">
        <v>6000</v>
      </c>
      <c r="R142" s="86"/>
      <c r="S142" s="86"/>
      <c r="T142" s="86"/>
      <c r="U142" s="86"/>
      <c r="V142" s="86"/>
      <c r="W142" s="86"/>
      <c r="X142" s="86"/>
      <c r="Y142" s="86"/>
      <c r="Z142" s="86"/>
      <c r="AA142" s="86"/>
      <c r="AB142" s="86"/>
      <c r="AC142" s="103"/>
      <c r="AD142" s="103"/>
      <c r="AE142" s="103"/>
      <c r="AF142" s="103"/>
      <c r="AG142" s="103"/>
      <c r="AH142" s="103"/>
    </row>
    <row r="143" spans="1:34">
      <c r="A143" s="103" t="s">
        <v>242</v>
      </c>
      <c r="B143" s="103"/>
      <c r="C143" s="103"/>
      <c r="D143" s="103"/>
      <c r="E143" s="103"/>
      <c r="F143" s="103"/>
      <c r="G143" s="103"/>
      <c r="H143" s="103"/>
      <c r="I143" s="103"/>
      <c r="J143" s="103"/>
      <c r="K143" s="103"/>
      <c r="L143" s="32"/>
      <c r="M143" s="256">
        <v>2014</v>
      </c>
      <c r="N143" s="256"/>
      <c r="O143" s="256"/>
      <c r="P143" s="256"/>
      <c r="Q143" s="86">
        <v>40000</v>
      </c>
      <c r="R143" s="86"/>
      <c r="S143" s="86"/>
      <c r="T143" s="86"/>
      <c r="U143" s="86"/>
      <c r="V143" s="86"/>
      <c r="W143" s="86"/>
      <c r="X143" s="86"/>
      <c r="Y143" s="86">
        <v>10400</v>
      </c>
      <c r="Z143" s="86"/>
      <c r="AA143" s="86"/>
      <c r="AB143" s="86"/>
      <c r="AC143" s="103" t="s">
        <v>243</v>
      </c>
      <c r="AD143" s="103"/>
      <c r="AE143" s="103"/>
      <c r="AF143" s="103"/>
      <c r="AG143" s="103"/>
      <c r="AH143" s="103"/>
    </row>
    <row r="144" spans="1:34">
      <c r="A144" s="103" t="s">
        <v>241</v>
      </c>
      <c r="B144" s="103"/>
      <c r="C144" s="103"/>
      <c r="D144" s="103"/>
      <c r="E144" s="103"/>
      <c r="F144" s="103"/>
      <c r="G144" s="103"/>
      <c r="H144" s="103"/>
      <c r="I144" s="103"/>
      <c r="J144" s="103"/>
      <c r="K144" s="103"/>
      <c r="L144" s="32"/>
      <c r="M144" s="256"/>
      <c r="N144" s="256"/>
      <c r="O144" s="256"/>
      <c r="P144" s="256"/>
      <c r="Q144" s="86">
        <v>50000</v>
      </c>
      <c r="R144" s="86"/>
      <c r="S144" s="86"/>
      <c r="T144" s="86"/>
      <c r="U144" s="86"/>
      <c r="V144" s="86"/>
      <c r="W144" s="86"/>
      <c r="X144" s="86"/>
      <c r="Y144" s="86"/>
      <c r="Z144" s="86"/>
      <c r="AA144" s="86"/>
      <c r="AB144" s="86"/>
      <c r="AC144" s="103"/>
      <c r="AD144" s="103"/>
      <c r="AE144" s="103"/>
      <c r="AF144" s="103"/>
      <c r="AG144" s="103"/>
      <c r="AH144" s="103"/>
    </row>
    <row r="145" spans="1:34">
      <c r="N145" t="s">
        <v>75</v>
      </c>
      <c r="Q145" s="244">
        <f>SUM(Q141:T144)</f>
        <v>106000</v>
      </c>
      <c r="R145" s="87"/>
      <c r="S145" s="87"/>
      <c r="T145" s="87"/>
      <c r="U145" s="244">
        <f>SUM(U141:X144)</f>
        <v>0</v>
      </c>
      <c r="V145" s="87"/>
      <c r="W145" s="87"/>
      <c r="X145" s="87"/>
      <c r="Y145" s="244">
        <f>SUM(Y141:AB144)</f>
        <v>10400</v>
      </c>
      <c r="Z145" s="87"/>
      <c r="AA145" s="87"/>
      <c r="AB145" s="87"/>
    </row>
    <row r="146" spans="1:34">
      <c r="Q146" s="88" t="s">
        <v>152</v>
      </c>
      <c r="R146" s="88"/>
      <c r="S146" s="88"/>
      <c r="T146" s="88"/>
      <c r="U146" s="88" t="s">
        <v>153</v>
      </c>
      <c r="V146" s="88"/>
      <c r="W146" s="88"/>
      <c r="X146" s="88"/>
      <c r="Y146" s="88" t="s">
        <v>195</v>
      </c>
      <c r="Z146" s="88"/>
      <c r="AA146" s="88"/>
      <c r="AB146" s="88"/>
    </row>
    <row r="147" spans="1:34" ht="4.5" customHeight="1"/>
    <row r="148" spans="1:34">
      <c r="A148" s="1" t="s">
        <v>176</v>
      </c>
    </row>
    <row r="149" spans="1:34">
      <c r="A149" s="46"/>
      <c r="B149" s="20"/>
      <c r="C149" s="20"/>
      <c r="D149" s="20"/>
      <c r="E149" s="20"/>
      <c r="F149" s="20"/>
      <c r="G149" s="20"/>
      <c r="H149" s="20"/>
      <c r="I149" s="20"/>
      <c r="J149" s="22"/>
      <c r="K149" s="89" t="s">
        <v>155</v>
      </c>
      <c r="L149" s="91"/>
      <c r="M149" s="46"/>
      <c r="N149" s="20"/>
      <c r="O149" s="20"/>
      <c r="P149" s="20"/>
      <c r="Q149" s="20"/>
      <c r="R149" s="20"/>
      <c r="S149" s="22"/>
      <c r="T149" s="89" t="s">
        <v>158</v>
      </c>
      <c r="U149" s="90"/>
      <c r="V149" s="90"/>
      <c r="W149" s="91"/>
      <c r="X149" s="89" t="s">
        <v>160</v>
      </c>
      <c r="Y149" s="90"/>
      <c r="Z149" s="91"/>
      <c r="AA149" s="39"/>
      <c r="AB149" s="41"/>
      <c r="AC149" s="20"/>
      <c r="AD149" s="20"/>
      <c r="AE149" s="20"/>
      <c r="AF149" s="20"/>
      <c r="AG149" s="20"/>
      <c r="AH149" s="22"/>
    </row>
    <row r="150" spans="1:34">
      <c r="A150" s="105" t="s">
        <v>154</v>
      </c>
      <c r="B150" s="106"/>
      <c r="C150" s="106"/>
      <c r="D150" s="106"/>
      <c r="E150" s="106"/>
      <c r="F150" s="106"/>
      <c r="G150" s="106"/>
      <c r="H150" s="106"/>
      <c r="I150" s="106"/>
      <c r="J150" s="107"/>
      <c r="K150" s="105" t="s">
        <v>156</v>
      </c>
      <c r="L150" s="107"/>
      <c r="M150" s="105" t="s">
        <v>157</v>
      </c>
      <c r="N150" s="106"/>
      <c r="O150" s="106"/>
      <c r="P150" s="106"/>
      <c r="Q150" s="106"/>
      <c r="R150" s="106"/>
      <c r="S150" s="107"/>
      <c r="T150" s="105" t="s">
        <v>159</v>
      </c>
      <c r="U150" s="106"/>
      <c r="V150" s="106"/>
      <c r="W150" s="107"/>
      <c r="X150" s="105" t="s">
        <v>123</v>
      </c>
      <c r="Y150" s="106"/>
      <c r="Z150" s="107"/>
      <c r="AA150" s="105" t="s">
        <v>162</v>
      </c>
      <c r="AB150" s="106"/>
      <c r="AC150" s="106"/>
      <c r="AD150" s="106"/>
      <c r="AE150" s="106"/>
      <c r="AF150" s="106"/>
      <c r="AG150" s="106"/>
      <c r="AH150" s="107"/>
    </row>
    <row r="151" spans="1:34">
      <c r="A151" s="103"/>
      <c r="B151" s="103"/>
      <c r="C151" s="103"/>
      <c r="D151" s="103"/>
      <c r="E151" s="103"/>
      <c r="F151" s="103"/>
      <c r="G151" s="103"/>
      <c r="H151" s="103"/>
      <c r="I151" s="103"/>
      <c r="J151" s="103"/>
      <c r="K151" s="245"/>
      <c r="L151" s="245"/>
      <c r="M151" s="103"/>
      <c r="N151" s="103"/>
      <c r="O151" s="103"/>
      <c r="P151" s="103"/>
      <c r="Q151" s="103"/>
      <c r="R151" s="103"/>
      <c r="S151" s="103"/>
      <c r="T151" s="86">
        <v>0</v>
      </c>
      <c r="U151" s="86"/>
      <c r="V151" s="86"/>
      <c r="W151" s="86"/>
      <c r="X151" s="86"/>
      <c r="Y151" s="86"/>
      <c r="Z151" s="86"/>
      <c r="AA151" s="103"/>
      <c r="AB151" s="103"/>
      <c r="AC151" s="103"/>
      <c r="AD151" s="103"/>
      <c r="AE151" s="103"/>
      <c r="AF151" s="103"/>
      <c r="AG151" s="103"/>
      <c r="AH151" s="103"/>
    </row>
    <row r="152" spans="1:34">
      <c r="A152" s="103"/>
      <c r="B152" s="103"/>
      <c r="C152" s="103"/>
      <c r="D152" s="103"/>
      <c r="E152" s="103"/>
      <c r="F152" s="103"/>
      <c r="G152" s="103"/>
      <c r="H152" s="103"/>
      <c r="I152" s="103"/>
      <c r="J152" s="103"/>
      <c r="K152" s="245"/>
      <c r="L152" s="245"/>
      <c r="M152" s="103"/>
      <c r="N152" s="103"/>
      <c r="O152" s="103"/>
      <c r="P152" s="103"/>
      <c r="Q152" s="103"/>
      <c r="R152" s="103"/>
      <c r="S152" s="103"/>
      <c r="T152" s="86">
        <v>0</v>
      </c>
      <c r="U152" s="86"/>
      <c r="V152" s="86"/>
      <c r="W152" s="86"/>
      <c r="X152" s="86"/>
      <c r="Y152" s="86"/>
      <c r="Z152" s="86"/>
      <c r="AA152" s="103"/>
      <c r="AB152" s="103"/>
      <c r="AC152" s="103"/>
      <c r="AD152" s="103"/>
      <c r="AE152" s="103"/>
      <c r="AF152" s="103"/>
      <c r="AG152" s="103"/>
      <c r="AH152" s="103"/>
    </row>
    <row r="153" spans="1:34">
      <c r="A153" s="103"/>
      <c r="B153" s="103"/>
      <c r="C153" s="103"/>
      <c r="D153" s="103"/>
      <c r="E153" s="103"/>
      <c r="F153" s="103"/>
      <c r="G153" s="103"/>
      <c r="H153" s="103"/>
      <c r="I153" s="103"/>
      <c r="J153" s="103"/>
      <c r="K153" s="245"/>
      <c r="L153" s="245"/>
      <c r="M153" s="103"/>
      <c r="N153" s="103"/>
      <c r="O153" s="103"/>
      <c r="P153" s="103"/>
      <c r="Q153" s="103"/>
      <c r="R153" s="103"/>
      <c r="S153" s="103"/>
      <c r="T153" s="86">
        <v>0</v>
      </c>
      <c r="U153" s="86"/>
      <c r="V153" s="86"/>
      <c r="W153" s="86"/>
      <c r="X153" s="86"/>
      <c r="Y153" s="86"/>
      <c r="Z153" s="86"/>
      <c r="AA153" s="103"/>
      <c r="AB153" s="103"/>
      <c r="AC153" s="103"/>
      <c r="AD153" s="103"/>
      <c r="AE153" s="103"/>
      <c r="AF153" s="103"/>
      <c r="AG153" s="103"/>
      <c r="AH153" s="103"/>
    </row>
    <row r="154" spans="1:34">
      <c r="A154" s="103"/>
      <c r="B154" s="103"/>
      <c r="C154" s="103"/>
      <c r="D154" s="103"/>
      <c r="E154" s="103"/>
      <c r="F154" s="103"/>
      <c r="G154" s="103"/>
      <c r="H154" s="103"/>
      <c r="I154" s="103"/>
      <c r="J154" s="103"/>
      <c r="K154" s="245"/>
      <c r="L154" s="245"/>
      <c r="M154" s="103"/>
      <c r="N154" s="103"/>
      <c r="O154" s="103"/>
      <c r="P154" s="103"/>
      <c r="Q154" s="103"/>
      <c r="R154" s="103"/>
      <c r="S154" s="103"/>
      <c r="T154" s="86">
        <v>0</v>
      </c>
      <c r="U154" s="86"/>
      <c r="V154" s="86"/>
      <c r="W154" s="86"/>
      <c r="X154" s="86"/>
      <c r="Y154" s="86"/>
      <c r="Z154" s="86"/>
      <c r="AA154" s="103"/>
      <c r="AB154" s="103"/>
      <c r="AC154" s="103"/>
      <c r="AD154" s="103"/>
      <c r="AE154" s="103"/>
      <c r="AF154" s="103"/>
      <c r="AG154" s="103"/>
      <c r="AH154" s="103"/>
    </row>
    <row r="155" spans="1:34">
      <c r="A155" s="103"/>
      <c r="B155" s="103"/>
      <c r="C155" s="103"/>
      <c r="D155" s="103"/>
      <c r="E155" s="103"/>
      <c r="F155" s="103"/>
      <c r="G155" s="103"/>
      <c r="H155" s="103"/>
      <c r="I155" s="103"/>
      <c r="J155" s="103"/>
      <c r="K155" s="245"/>
      <c r="L155" s="245"/>
      <c r="M155" s="103"/>
      <c r="N155" s="103"/>
      <c r="O155" s="103"/>
      <c r="P155" s="103"/>
      <c r="Q155" s="103"/>
      <c r="R155" s="103"/>
      <c r="S155" s="103"/>
      <c r="T155" s="86">
        <v>0</v>
      </c>
      <c r="U155" s="86"/>
      <c r="V155" s="86"/>
      <c r="W155" s="86"/>
      <c r="X155" s="86"/>
      <c r="Y155" s="86"/>
      <c r="Z155" s="86"/>
      <c r="AA155" s="103"/>
      <c r="AB155" s="103"/>
      <c r="AC155" s="103"/>
      <c r="AD155" s="103"/>
      <c r="AE155" s="103"/>
      <c r="AF155" s="103"/>
      <c r="AG155" s="103"/>
      <c r="AH155" s="103"/>
    </row>
    <row r="156" spans="1:34">
      <c r="P156" t="s">
        <v>75</v>
      </c>
      <c r="T156" s="244">
        <f>SUM(T151:W155)</f>
        <v>0</v>
      </c>
      <c r="U156" s="87"/>
      <c r="V156" s="87"/>
      <c r="W156" s="87"/>
    </row>
    <row r="157" spans="1:34">
      <c r="T157" s="88" t="s">
        <v>144</v>
      </c>
      <c r="U157" s="88"/>
      <c r="V157" s="88"/>
      <c r="W157" s="88"/>
    </row>
    <row r="158" spans="1:34" ht="4.5" customHeight="1"/>
    <row r="159" spans="1:34">
      <c r="A159" s="47" t="s">
        <v>179</v>
      </c>
    </row>
    <row r="160" spans="1:34">
      <c r="A160" s="39"/>
      <c r="B160" s="41"/>
      <c r="C160" s="41"/>
      <c r="D160" s="41"/>
      <c r="E160" s="41"/>
      <c r="F160" s="40"/>
      <c r="G160" s="89" t="s">
        <v>163</v>
      </c>
      <c r="H160" s="90"/>
      <c r="I160" s="90"/>
      <c r="J160" s="91"/>
      <c r="K160" s="48"/>
      <c r="L160" s="41"/>
      <c r="M160" s="40"/>
      <c r="N160" s="89" t="s">
        <v>164</v>
      </c>
      <c r="O160" s="90"/>
      <c r="P160" s="90"/>
      <c r="Q160" s="91"/>
      <c r="R160" s="92" t="s">
        <v>165</v>
      </c>
      <c r="S160" s="93"/>
      <c r="T160" s="93"/>
      <c r="U160" s="94"/>
      <c r="V160" s="89" t="s">
        <v>166</v>
      </c>
      <c r="W160" s="90"/>
      <c r="X160" s="90"/>
      <c r="Y160" s="91"/>
      <c r="Z160" s="89" t="s">
        <v>167</v>
      </c>
      <c r="AA160" s="90"/>
      <c r="AB160" s="90"/>
      <c r="AC160" s="91"/>
      <c r="AD160" s="89" t="s">
        <v>168</v>
      </c>
      <c r="AE160" s="90"/>
      <c r="AF160" s="90"/>
      <c r="AG160" s="90"/>
      <c r="AH160" s="91"/>
    </row>
    <row r="161" spans="1:34">
      <c r="A161" s="105" t="s">
        <v>169</v>
      </c>
      <c r="B161" s="106"/>
      <c r="C161" s="106"/>
      <c r="D161" s="106"/>
      <c r="E161" s="106"/>
      <c r="F161" s="107"/>
      <c r="G161" s="105" t="s">
        <v>170</v>
      </c>
      <c r="H161" s="106"/>
      <c r="I161" s="106"/>
      <c r="J161" s="107"/>
      <c r="K161" s="105" t="s">
        <v>104</v>
      </c>
      <c r="L161" s="106"/>
      <c r="M161" s="107"/>
      <c r="N161" s="105" t="s">
        <v>171</v>
      </c>
      <c r="O161" s="106"/>
      <c r="P161" s="106"/>
      <c r="Q161" s="107"/>
      <c r="R161" s="105" t="s">
        <v>172</v>
      </c>
      <c r="S161" s="106"/>
      <c r="T161" s="106"/>
      <c r="U161" s="107"/>
      <c r="V161" s="105" t="s">
        <v>173</v>
      </c>
      <c r="W161" s="106"/>
      <c r="X161" s="106"/>
      <c r="Y161" s="107"/>
      <c r="Z161" s="105" t="s">
        <v>173</v>
      </c>
      <c r="AA161" s="106"/>
      <c r="AB161" s="106"/>
      <c r="AC161" s="107"/>
      <c r="AD161" s="105" t="s">
        <v>170</v>
      </c>
      <c r="AE161" s="106"/>
      <c r="AF161" s="106"/>
      <c r="AG161" s="106"/>
      <c r="AH161" s="107"/>
    </row>
    <row r="162" spans="1:34">
      <c r="A162" s="103"/>
      <c r="B162" s="103"/>
      <c r="C162" s="103"/>
      <c r="D162" s="103"/>
      <c r="E162" s="103"/>
      <c r="F162" s="103"/>
      <c r="G162" s="103"/>
      <c r="H162" s="103"/>
      <c r="I162" s="103"/>
      <c r="J162" s="103"/>
      <c r="K162" s="99"/>
      <c r="L162" s="99"/>
      <c r="M162" s="99"/>
      <c r="N162" s="86"/>
      <c r="O162" s="86"/>
      <c r="P162" s="86"/>
      <c r="Q162" s="86"/>
      <c r="R162" s="86"/>
      <c r="S162" s="86"/>
      <c r="T162" s="86"/>
      <c r="U162" s="86"/>
      <c r="V162" s="86"/>
      <c r="W162" s="86"/>
      <c r="X162" s="86"/>
      <c r="Y162" s="86"/>
      <c r="Z162" s="86"/>
      <c r="AA162" s="86"/>
      <c r="AB162" s="86"/>
      <c r="AC162" s="86"/>
      <c r="AD162" s="103"/>
      <c r="AE162" s="103"/>
      <c r="AF162" s="103"/>
      <c r="AG162" s="103"/>
      <c r="AH162" s="103"/>
    </row>
    <row r="163" spans="1:34">
      <c r="A163" s="103"/>
      <c r="B163" s="103"/>
      <c r="C163" s="103"/>
      <c r="D163" s="103"/>
      <c r="E163" s="103"/>
      <c r="F163" s="103"/>
      <c r="G163" s="103"/>
      <c r="H163" s="103"/>
      <c r="I163" s="103"/>
      <c r="J163" s="103"/>
      <c r="K163" s="99"/>
      <c r="L163" s="99"/>
      <c r="M163" s="99"/>
      <c r="N163" s="86"/>
      <c r="O163" s="86"/>
      <c r="P163" s="86"/>
      <c r="Q163" s="86"/>
      <c r="R163" s="86"/>
      <c r="S163" s="86"/>
      <c r="T163" s="86"/>
      <c r="U163" s="86"/>
      <c r="V163" s="86"/>
      <c r="W163" s="86"/>
      <c r="X163" s="86"/>
      <c r="Y163" s="86"/>
      <c r="Z163" s="86"/>
      <c r="AA163" s="86"/>
      <c r="AB163" s="86"/>
      <c r="AC163" s="86"/>
      <c r="AD163" s="103"/>
      <c r="AE163" s="103"/>
      <c r="AF163" s="103"/>
      <c r="AG163" s="103"/>
      <c r="AH163" s="103"/>
    </row>
    <row r="164" spans="1:34">
      <c r="A164" s="103"/>
      <c r="B164" s="103"/>
      <c r="C164" s="103"/>
      <c r="D164" s="103"/>
      <c r="E164" s="103"/>
      <c r="F164" s="103"/>
      <c r="G164" s="103"/>
      <c r="H164" s="103"/>
      <c r="I164" s="103"/>
      <c r="J164" s="103"/>
      <c r="K164" s="99"/>
      <c r="L164" s="99"/>
      <c r="M164" s="99"/>
      <c r="N164" s="86"/>
      <c r="O164" s="86"/>
      <c r="P164" s="86"/>
      <c r="Q164" s="86"/>
      <c r="R164" s="86"/>
      <c r="S164" s="86"/>
      <c r="T164" s="86"/>
      <c r="U164" s="86"/>
      <c r="V164" s="86"/>
      <c r="W164" s="86"/>
      <c r="X164" s="86"/>
      <c r="Y164" s="86"/>
      <c r="Z164" s="86"/>
      <c r="AA164" s="86"/>
      <c r="AB164" s="86"/>
      <c r="AC164" s="86"/>
      <c r="AD164" s="103"/>
      <c r="AE164" s="103"/>
      <c r="AF164" s="103"/>
      <c r="AG164" s="103"/>
      <c r="AH164" s="103"/>
    </row>
    <row r="165" spans="1:34">
      <c r="K165" t="s">
        <v>75</v>
      </c>
      <c r="N165" s="86">
        <f>SUM(N162:Q164)</f>
        <v>0</v>
      </c>
      <c r="O165" s="86"/>
      <c r="P165" s="86"/>
      <c r="Q165" s="86"/>
      <c r="R165" s="86">
        <f>SUM(R162:U164)</f>
        <v>0</v>
      </c>
      <c r="S165" s="86"/>
      <c r="T165" s="86"/>
      <c r="U165" s="86"/>
      <c r="V165" s="86">
        <f>SUM(V162:Y164)</f>
        <v>0</v>
      </c>
      <c r="W165" s="86"/>
      <c r="X165" s="86"/>
      <c r="Y165" s="86"/>
      <c r="Z165" s="86">
        <f>SUM(Z162:AC164)</f>
        <v>0</v>
      </c>
      <c r="AA165" s="86"/>
      <c r="AB165" s="86"/>
      <c r="AC165" s="86"/>
    </row>
    <row r="166" spans="1:34">
      <c r="N166" s="88" t="s">
        <v>181</v>
      </c>
      <c r="O166" s="88"/>
      <c r="P166" s="88"/>
      <c r="Q166" s="88"/>
      <c r="R166" s="88" t="s">
        <v>182</v>
      </c>
      <c r="S166" s="88"/>
      <c r="T166" s="88"/>
      <c r="U166" s="88"/>
      <c r="V166" s="88" t="s">
        <v>183</v>
      </c>
      <c r="W166" s="88"/>
      <c r="X166" s="88"/>
      <c r="Y166" s="88"/>
      <c r="Z166" s="88" t="s">
        <v>174</v>
      </c>
      <c r="AA166" s="88"/>
      <c r="AB166" s="88"/>
      <c r="AC166" s="88"/>
    </row>
    <row r="167" spans="1:34" ht="4.5" customHeight="1"/>
    <row r="168" spans="1:34">
      <c r="A168" s="1" t="s">
        <v>185</v>
      </c>
    </row>
    <row r="169" spans="1:34">
      <c r="A169" s="39"/>
      <c r="B169" s="20"/>
      <c r="C169" s="20"/>
      <c r="D169" s="20"/>
      <c r="E169" s="20"/>
      <c r="F169" s="20"/>
      <c r="G169" s="20"/>
      <c r="H169" s="20"/>
      <c r="I169" s="20"/>
      <c r="J169" s="20"/>
      <c r="K169" s="20"/>
      <c r="L169" s="20"/>
      <c r="M169" s="20"/>
      <c r="N169" s="41"/>
      <c r="O169" s="40"/>
      <c r="P169" s="39"/>
      <c r="Q169" s="41"/>
      <c r="R169" s="40"/>
      <c r="S169" s="89" t="s">
        <v>186</v>
      </c>
      <c r="T169" s="90"/>
      <c r="U169" s="90"/>
      <c r="V169" s="91"/>
      <c r="W169" s="89" t="s">
        <v>188</v>
      </c>
      <c r="X169" s="90"/>
      <c r="Y169" s="90"/>
      <c r="Z169" s="91"/>
      <c r="AA169" s="89" t="s">
        <v>189</v>
      </c>
      <c r="AB169" s="90"/>
      <c r="AC169" s="90"/>
      <c r="AD169" s="91"/>
      <c r="AE169" s="89" t="s">
        <v>191</v>
      </c>
      <c r="AF169" s="90"/>
      <c r="AG169" s="90"/>
      <c r="AH169" s="91"/>
    </row>
    <row r="170" spans="1:34">
      <c r="A170" s="105" t="s">
        <v>169</v>
      </c>
      <c r="B170" s="106"/>
      <c r="C170" s="106"/>
      <c r="D170" s="106"/>
      <c r="E170" s="106"/>
      <c r="F170" s="106"/>
      <c r="G170" s="106"/>
      <c r="H170" s="106"/>
      <c r="I170" s="106"/>
      <c r="J170" s="106"/>
      <c r="K170" s="106"/>
      <c r="L170" s="106"/>
      <c r="M170" s="106"/>
      <c r="N170" s="106"/>
      <c r="O170" s="107"/>
      <c r="P170" s="105" t="s">
        <v>104</v>
      </c>
      <c r="Q170" s="106"/>
      <c r="R170" s="107"/>
      <c r="S170" s="105" t="s">
        <v>187</v>
      </c>
      <c r="T170" s="106"/>
      <c r="U170" s="106"/>
      <c r="V170" s="107"/>
      <c r="W170" s="105" t="s">
        <v>187</v>
      </c>
      <c r="X170" s="106"/>
      <c r="Y170" s="106"/>
      <c r="Z170" s="107"/>
      <c r="AA170" s="105" t="s">
        <v>190</v>
      </c>
      <c r="AB170" s="106"/>
      <c r="AC170" s="106"/>
      <c r="AD170" s="107"/>
      <c r="AE170" s="105" t="s">
        <v>192</v>
      </c>
      <c r="AF170" s="106"/>
      <c r="AG170" s="106"/>
      <c r="AH170" s="107"/>
    </row>
    <row r="171" spans="1:34">
      <c r="A171" s="103"/>
      <c r="B171" s="103"/>
      <c r="C171" s="103"/>
      <c r="D171" s="103"/>
      <c r="E171" s="103"/>
      <c r="F171" s="103"/>
      <c r="G171" s="103"/>
      <c r="H171" s="103"/>
      <c r="I171" s="103"/>
      <c r="J171" s="103"/>
      <c r="K171" s="103"/>
      <c r="L171" s="103"/>
      <c r="M171" s="103"/>
      <c r="N171" s="103"/>
      <c r="O171" s="103"/>
      <c r="P171" s="99"/>
      <c r="Q171" s="99"/>
      <c r="R171" s="99"/>
      <c r="S171" s="86"/>
      <c r="T171" s="86"/>
      <c r="U171" s="86"/>
      <c r="V171" s="86"/>
      <c r="W171" s="86"/>
      <c r="X171" s="86"/>
      <c r="Y171" s="86"/>
      <c r="Z171" s="86"/>
      <c r="AA171" s="86"/>
      <c r="AB171" s="86"/>
      <c r="AC171" s="86"/>
      <c r="AD171" s="86"/>
      <c r="AE171" s="86"/>
      <c r="AF171" s="86"/>
      <c r="AG171" s="86"/>
      <c r="AH171" s="86"/>
    </row>
    <row r="172" spans="1:34">
      <c r="A172" s="103"/>
      <c r="B172" s="103"/>
      <c r="C172" s="103"/>
      <c r="D172" s="103"/>
      <c r="E172" s="103"/>
      <c r="F172" s="103"/>
      <c r="G172" s="103"/>
      <c r="H172" s="103"/>
      <c r="I172" s="103"/>
      <c r="J172" s="103"/>
      <c r="K172" s="103"/>
      <c r="L172" s="103"/>
      <c r="M172" s="103"/>
      <c r="N172" s="103"/>
      <c r="O172" s="103"/>
      <c r="P172" s="99"/>
      <c r="Q172" s="99"/>
      <c r="R172" s="99"/>
      <c r="S172" s="86"/>
      <c r="T172" s="86"/>
      <c r="U172" s="86"/>
      <c r="V172" s="86"/>
      <c r="W172" s="86"/>
      <c r="X172" s="86"/>
      <c r="Y172" s="86"/>
      <c r="Z172" s="86"/>
      <c r="AA172" s="86"/>
      <c r="AB172" s="86"/>
      <c r="AC172" s="86"/>
      <c r="AD172" s="86"/>
      <c r="AE172" s="86"/>
      <c r="AF172" s="86"/>
      <c r="AG172" s="86"/>
      <c r="AH172" s="86"/>
    </row>
    <row r="173" spans="1:34">
      <c r="A173" s="103"/>
      <c r="B173" s="103"/>
      <c r="C173" s="103"/>
      <c r="D173" s="103"/>
      <c r="E173" s="103"/>
      <c r="F173" s="103"/>
      <c r="G173" s="103"/>
      <c r="H173" s="103"/>
      <c r="I173" s="103"/>
      <c r="J173" s="103"/>
      <c r="K173" s="103"/>
      <c r="L173" s="103"/>
      <c r="M173" s="103"/>
      <c r="N173" s="103"/>
      <c r="O173" s="103"/>
      <c r="P173" s="99"/>
      <c r="Q173" s="99"/>
      <c r="R173" s="99"/>
      <c r="S173" s="86"/>
      <c r="T173" s="86"/>
      <c r="U173" s="86"/>
      <c r="V173" s="86"/>
      <c r="W173" s="86"/>
      <c r="X173" s="86"/>
      <c r="Y173" s="86"/>
      <c r="Z173" s="86"/>
      <c r="AA173" s="86"/>
      <c r="AB173" s="86"/>
      <c r="AC173" s="86"/>
      <c r="AD173" s="86"/>
      <c r="AE173" s="86"/>
      <c r="AF173" s="86"/>
      <c r="AG173" s="86"/>
      <c r="AH173" s="86"/>
    </row>
    <row r="174" spans="1:34">
      <c r="A174" s="103"/>
      <c r="B174" s="103"/>
      <c r="C174" s="103"/>
      <c r="D174" s="103"/>
      <c r="E174" s="103"/>
      <c r="F174" s="103"/>
      <c r="G174" s="103"/>
      <c r="H174" s="103"/>
      <c r="I174" s="103"/>
      <c r="J174" s="103"/>
      <c r="K174" s="103"/>
      <c r="L174" s="103"/>
      <c r="M174" s="103"/>
      <c r="N174" s="103"/>
      <c r="O174" s="103"/>
      <c r="P174" s="99"/>
      <c r="Q174" s="99"/>
      <c r="R174" s="99"/>
      <c r="S174" s="86"/>
      <c r="T174" s="86"/>
      <c r="U174" s="86"/>
      <c r="V174" s="86"/>
      <c r="W174" s="86"/>
      <c r="X174" s="86"/>
      <c r="Y174" s="86"/>
      <c r="Z174" s="86"/>
      <c r="AA174" s="86"/>
      <c r="AB174" s="86"/>
      <c r="AC174" s="86"/>
      <c r="AD174" s="86"/>
      <c r="AE174" s="86"/>
      <c r="AF174" s="86"/>
      <c r="AG174" s="86"/>
      <c r="AH174" s="86"/>
    </row>
    <row r="175" spans="1:34">
      <c r="A175" s="103"/>
      <c r="B175" s="103"/>
      <c r="C175" s="103"/>
      <c r="D175" s="103"/>
      <c r="E175" s="103"/>
      <c r="F175" s="103"/>
      <c r="G175" s="103"/>
      <c r="H175" s="103"/>
      <c r="I175" s="103"/>
      <c r="J175" s="103"/>
      <c r="K175" s="103"/>
      <c r="L175" s="103"/>
      <c r="M175" s="103"/>
      <c r="N175" s="103"/>
      <c r="O175" s="103"/>
      <c r="P175" s="99"/>
      <c r="Q175" s="99"/>
      <c r="R175" s="99"/>
      <c r="S175" s="86"/>
      <c r="T175" s="86"/>
      <c r="U175" s="86"/>
      <c r="V175" s="86"/>
      <c r="W175" s="86"/>
      <c r="X175" s="86"/>
      <c r="Y175" s="86"/>
      <c r="Z175" s="86"/>
      <c r="AA175" s="86"/>
      <c r="AB175" s="86"/>
      <c r="AC175" s="86"/>
      <c r="AD175" s="86"/>
      <c r="AE175" s="86"/>
      <c r="AF175" s="86"/>
      <c r="AG175" s="86"/>
      <c r="AH175" s="86"/>
    </row>
    <row r="176" spans="1:34">
      <c r="A176" s="103"/>
      <c r="B176" s="103"/>
      <c r="C176" s="103"/>
      <c r="D176" s="103"/>
      <c r="E176" s="103"/>
      <c r="F176" s="103"/>
      <c r="G176" s="103"/>
      <c r="H176" s="103"/>
      <c r="I176" s="103"/>
      <c r="J176" s="103"/>
      <c r="K176" s="103"/>
      <c r="L176" s="103"/>
      <c r="M176" s="103"/>
      <c r="N176" s="103"/>
      <c r="O176" s="103"/>
      <c r="P176" s="99"/>
      <c r="Q176" s="99"/>
      <c r="R176" s="99"/>
      <c r="S176" s="86"/>
      <c r="T176" s="86"/>
      <c r="U176" s="86"/>
      <c r="V176" s="86"/>
      <c r="W176" s="86"/>
      <c r="X176" s="86"/>
      <c r="Y176" s="86"/>
      <c r="Z176" s="86"/>
      <c r="AA176" s="86"/>
      <c r="AB176" s="86"/>
      <c r="AC176" s="86"/>
      <c r="AD176" s="86"/>
      <c r="AE176" s="86"/>
      <c r="AF176" s="86"/>
      <c r="AG176" s="86"/>
      <c r="AH176" s="86"/>
    </row>
    <row r="177" spans="1:34">
      <c r="P177" t="s">
        <v>75</v>
      </c>
      <c r="S177" s="86">
        <f>SUM(S171:V176)</f>
        <v>0</v>
      </c>
      <c r="T177" s="86"/>
      <c r="U177" s="86"/>
      <c r="V177" s="86"/>
      <c r="W177" s="86">
        <f>SUM(W171:Z176)</f>
        <v>0</v>
      </c>
      <c r="X177" s="86"/>
      <c r="Y177" s="86"/>
      <c r="Z177" s="86"/>
      <c r="AA177" s="86">
        <f>SUM(AA171:AD176)</f>
        <v>0</v>
      </c>
      <c r="AB177" s="86"/>
      <c r="AC177" s="86"/>
      <c r="AD177" s="86"/>
      <c r="AE177" s="86">
        <f>SUM(AE171:AH176)</f>
        <v>0</v>
      </c>
      <c r="AF177" s="86"/>
      <c r="AG177" s="86"/>
      <c r="AH177" s="86"/>
    </row>
    <row r="178" spans="1:34">
      <c r="S178" s="88" t="s">
        <v>184</v>
      </c>
      <c r="T178" s="88"/>
      <c r="U178" s="88"/>
      <c r="V178" s="88"/>
      <c r="W178" s="88" t="s">
        <v>184</v>
      </c>
      <c r="X178" s="88"/>
      <c r="Y178" s="88"/>
      <c r="Z178" s="88"/>
      <c r="AA178" s="88" t="s">
        <v>194</v>
      </c>
      <c r="AB178" s="88"/>
      <c r="AC178" s="88"/>
      <c r="AD178" s="88"/>
      <c r="AE178" s="88" t="s">
        <v>197</v>
      </c>
      <c r="AF178" s="88"/>
      <c r="AG178" s="88"/>
      <c r="AH178" s="88"/>
    </row>
    <row r="179" spans="1:34" ht="4.5" customHeight="1"/>
    <row r="180" spans="1:34">
      <c r="A180" s="1" t="s">
        <v>199</v>
      </c>
    </row>
    <row r="181" spans="1:34">
      <c r="A181" s="39"/>
      <c r="B181" s="41"/>
      <c r="C181" s="41"/>
      <c r="D181" s="41"/>
      <c r="E181" s="41"/>
      <c r="F181" s="41"/>
      <c r="G181" s="41"/>
      <c r="H181" s="41"/>
      <c r="I181" s="41"/>
      <c r="J181" s="41"/>
      <c r="K181" s="41"/>
      <c r="L181" s="41"/>
      <c r="M181" s="41"/>
      <c r="N181" s="41"/>
      <c r="O181" s="40"/>
      <c r="P181" s="39"/>
      <c r="Q181" s="41"/>
      <c r="R181" s="40"/>
      <c r="S181" s="89" t="s">
        <v>158</v>
      </c>
      <c r="T181" s="90"/>
      <c r="U181" s="90"/>
      <c r="V181" s="91"/>
      <c r="W181" s="89" t="s">
        <v>160</v>
      </c>
      <c r="X181" s="90"/>
      <c r="Y181" s="91"/>
      <c r="Z181" s="46"/>
      <c r="AA181" s="20"/>
      <c r="AB181" s="20"/>
      <c r="AC181" s="20"/>
      <c r="AD181" s="41"/>
      <c r="AE181" s="41"/>
      <c r="AF181" s="41"/>
      <c r="AG181" s="20"/>
      <c r="AH181" s="22"/>
    </row>
    <row r="182" spans="1:34">
      <c r="A182" s="105" t="s">
        <v>200</v>
      </c>
      <c r="B182" s="106"/>
      <c r="C182" s="106"/>
      <c r="D182" s="106"/>
      <c r="E182" s="106"/>
      <c r="F182" s="106"/>
      <c r="G182" s="106"/>
      <c r="H182" s="106"/>
      <c r="I182" s="106"/>
      <c r="J182" s="106"/>
      <c r="K182" s="106"/>
      <c r="L182" s="106"/>
      <c r="M182" s="106"/>
      <c r="N182" s="106"/>
      <c r="O182" s="107"/>
      <c r="P182" s="105" t="s">
        <v>104</v>
      </c>
      <c r="Q182" s="106"/>
      <c r="R182" s="107"/>
      <c r="S182" s="105" t="s">
        <v>159</v>
      </c>
      <c r="T182" s="106"/>
      <c r="U182" s="106"/>
      <c r="V182" s="107"/>
      <c r="W182" s="105" t="s">
        <v>123</v>
      </c>
      <c r="X182" s="106"/>
      <c r="Y182" s="107"/>
      <c r="Z182" s="105" t="s">
        <v>162</v>
      </c>
      <c r="AA182" s="106"/>
      <c r="AB182" s="106"/>
      <c r="AC182" s="106"/>
      <c r="AD182" s="106"/>
      <c r="AE182" s="106"/>
      <c r="AF182" s="106"/>
      <c r="AG182" s="106"/>
      <c r="AH182" s="107"/>
    </row>
    <row r="183" spans="1:34">
      <c r="A183" s="103"/>
      <c r="B183" s="103"/>
      <c r="C183" s="103"/>
      <c r="D183" s="103"/>
      <c r="E183" s="103"/>
      <c r="F183" s="103"/>
      <c r="G183" s="103"/>
      <c r="H183" s="103"/>
      <c r="I183" s="103"/>
      <c r="J183" s="103"/>
      <c r="K183" s="103"/>
      <c r="L183" s="103"/>
      <c r="M183" s="103"/>
      <c r="N183" s="103"/>
      <c r="O183" s="103"/>
      <c r="P183" s="99"/>
      <c r="Q183" s="99"/>
      <c r="R183" s="99"/>
      <c r="S183" s="251"/>
      <c r="T183" s="251"/>
      <c r="U183" s="251"/>
      <c r="V183" s="251"/>
      <c r="W183" s="251"/>
      <c r="X183" s="251"/>
      <c r="Y183" s="251"/>
      <c r="Z183" s="103"/>
      <c r="AA183" s="103"/>
      <c r="AB183" s="103"/>
      <c r="AC183" s="103"/>
      <c r="AD183" s="103"/>
      <c r="AE183" s="103"/>
      <c r="AF183" s="103"/>
      <c r="AG183" s="103"/>
      <c r="AH183" s="103"/>
    </row>
    <row r="184" spans="1:34">
      <c r="A184" s="103"/>
      <c r="B184" s="103"/>
      <c r="C184" s="103"/>
      <c r="D184" s="103"/>
      <c r="E184" s="103"/>
      <c r="F184" s="103"/>
      <c r="G184" s="103"/>
      <c r="H184" s="103"/>
      <c r="I184" s="103"/>
      <c r="J184" s="103"/>
      <c r="K184" s="103"/>
      <c r="L184" s="103"/>
      <c r="M184" s="103"/>
      <c r="N184" s="103"/>
      <c r="O184" s="103"/>
      <c r="P184" s="99"/>
      <c r="Q184" s="99"/>
      <c r="R184" s="99"/>
      <c r="S184" s="251"/>
      <c r="T184" s="251"/>
      <c r="U184" s="251"/>
      <c r="V184" s="251"/>
      <c r="W184" s="251"/>
      <c r="X184" s="251"/>
      <c r="Y184" s="251"/>
      <c r="Z184" s="103"/>
      <c r="AA184" s="103"/>
      <c r="AB184" s="103"/>
      <c r="AC184" s="103"/>
      <c r="AD184" s="103"/>
      <c r="AE184" s="103"/>
      <c r="AF184" s="103"/>
      <c r="AG184" s="103"/>
      <c r="AH184" s="103"/>
    </row>
    <row r="185" spans="1:34">
      <c r="A185" s="103"/>
      <c r="B185" s="103"/>
      <c r="C185" s="103"/>
      <c r="D185" s="103"/>
      <c r="E185" s="103"/>
      <c r="F185" s="103"/>
      <c r="G185" s="103"/>
      <c r="H185" s="103"/>
      <c r="I185" s="103"/>
      <c r="J185" s="103"/>
      <c r="K185" s="103"/>
      <c r="L185" s="103"/>
      <c r="M185" s="103"/>
      <c r="N185" s="103"/>
      <c r="O185" s="103"/>
      <c r="P185" s="99"/>
      <c r="Q185" s="99"/>
      <c r="R185" s="99"/>
      <c r="S185" s="251"/>
      <c r="T185" s="251"/>
      <c r="U185" s="251"/>
      <c r="V185" s="251"/>
      <c r="W185" s="251"/>
      <c r="X185" s="251"/>
      <c r="Y185" s="251"/>
      <c r="Z185" s="103"/>
      <c r="AA185" s="103"/>
      <c r="AB185" s="103"/>
      <c r="AC185" s="103"/>
      <c r="AD185" s="103"/>
      <c r="AE185" s="103"/>
      <c r="AF185" s="103"/>
      <c r="AG185" s="103"/>
      <c r="AH185" s="103"/>
    </row>
    <row r="186" spans="1:34">
      <c r="A186" s="103"/>
      <c r="B186" s="103"/>
      <c r="C186" s="103"/>
      <c r="D186" s="103"/>
      <c r="E186" s="103"/>
      <c r="F186" s="103"/>
      <c r="G186" s="103"/>
      <c r="H186" s="103"/>
      <c r="I186" s="103"/>
      <c r="J186" s="103"/>
      <c r="K186" s="103"/>
      <c r="L186" s="103"/>
      <c r="M186" s="103"/>
      <c r="N186" s="103"/>
      <c r="O186" s="103"/>
      <c r="P186" s="99"/>
      <c r="Q186" s="99"/>
      <c r="R186" s="99"/>
      <c r="S186" s="251"/>
      <c r="T186" s="251"/>
      <c r="U186" s="251"/>
      <c r="V186" s="251"/>
      <c r="W186" s="251"/>
      <c r="X186" s="251"/>
      <c r="Y186" s="251"/>
      <c r="Z186" s="103"/>
      <c r="AA186" s="103"/>
      <c r="AB186" s="103"/>
      <c r="AC186" s="103"/>
      <c r="AD186" s="103"/>
      <c r="AE186" s="103"/>
      <c r="AF186" s="103"/>
      <c r="AG186" s="103"/>
      <c r="AH186" s="103"/>
    </row>
    <row r="187" spans="1:34">
      <c r="A187" s="103"/>
      <c r="B187" s="103"/>
      <c r="C187" s="103"/>
      <c r="D187" s="103"/>
      <c r="E187" s="103"/>
      <c r="F187" s="103"/>
      <c r="G187" s="103"/>
      <c r="H187" s="103"/>
      <c r="I187" s="103"/>
      <c r="J187" s="103"/>
      <c r="K187" s="103"/>
      <c r="L187" s="103"/>
      <c r="M187" s="103"/>
      <c r="N187" s="103"/>
      <c r="O187" s="103"/>
      <c r="P187" s="99"/>
      <c r="Q187" s="99"/>
      <c r="R187" s="99"/>
      <c r="S187" s="251"/>
      <c r="T187" s="251"/>
      <c r="U187" s="251"/>
      <c r="V187" s="251"/>
      <c r="W187" s="251"/>
      <c r="X187" s="251"/>
      <c r="Y187" s="251"/>
      <c r="Z187" s="103"/>
      <c r="AA187" s="103"/>
      <c r="AB187" s="103"/>
      <c r="AC187" s="103"/>
      <c r="AD187" s="103"/>
      <c r="AE187" s="103"/>
      <c r="AF187" s="103"/>
      <c r="AG187" s="103"/>
      <c r="AH187" s="103"/>
    </row>
    <row r="188" spans="1:34">
      <c r="A188" s="103"/>
      <c r="B188" s="103"/>
      <c r="C188" s="103"/>
      <c r="D188" s="103"/>
      <c r="E188" s="103"/>
      <c r="F188" s="103"/>
      <c r="G188" s="103"/>
      <c r="H188" s="103"/>
      <c r="I188" s="103"/>
      <c r="J188" s="103"/>
      <c r="K188" s="103"/>
      <c r="L188" s="103"/>
      <c r="M188" s="103"/>
      <c r="N188" s="103"/>
      <c r="O188" s="103"/>
      <c r="P188" s="99"/>
      <c r="Q188" s="99"/>
      <c r="R188" s="99"/>
      <c r="S188" s="251"/>
      <c r="T188" s="251"/>
      <c r="U188" s="251"/>
      <c r="V188" s="251"/>
      <c r="W188" s="251"/>
      <c r="X188" s="251"/>
      <c r="Y188" s="251"/>
      <c r="Z188" s="103"/>
      <c r="AA188" s="103"/>
      <c r="AB188" s="103"/>
      <c r="AC188" s="103"/>
      <c r="AD188" s="103"/>
      <c r="AE188" s="103"/>
      <c r="AF188" s="103"/>
      <c r="AG188" s="103"/>
      <c r="AH188" s="103"/>
    </row>
    <row r="189" spans="1:34">
      <c r="A189" s="44"/>
      <c r="B189" s="44"/>
      <c r="C189" s="44"/>
      <c r="D189" s="44"/>
      <c r="E189" s="44"/>
      <c r="F189" s="44"/>
      <c r="G189" s="44"/>
      <c r="H189" s="44"/>
      <c r="I189" s="44"/>
      <c r="J189" s="44"/>
      <c r="K189" s="44"/>
      <c r="L189" s="44"/>
      <c r="M189" s="44"/>
      <c r="N189" s="44"/>
      <c r="O189" s="44"/>
      <c r="P189" s="51" t="s">
        <v>28</v>
      </c>
      <c r="Q189" s="51"/>
      <c r="R189" s="51"/>
      <c r="S189" s="251">
        <f>SUM(S183:V188)</f>
        <v>0</v>
      </c>
      <c r="T189" s="251"/>
      <c r="U189" s="251"/>
      <c r="V189" s="251"/>
      <c r="W189" s="43"/>
      <c r="X189" s="43"/>
      <c r="Y189" s="43"/>
      <c r="Z189" s="44"/>
      <c r="AA189" s="44"/>
      <c r="AB189" s="44"/>
      <c r="AC189" s="44"/>
      <c r="AD189" s="44"/>
      <c r="AE189" s="44"/>
      <c r="AF189" s="44"/>
      <c r="AG189" s="44"/>
      <c r="AH189" s="44"/>
    </row>
    <row r="190" spans="1:34">
      <c r="S190" s="88" t="s">
        <v>195</v>
      </c>
      <c r="T190" s="88"/>
      <c r="U190" s="88"/>
      <c r="V190" s="88"/>
    </row>
    <row r="191" spans="1:34" ht="4.5" customHeight="1"/>
    <row r="192" spans="1:34">
      <c r="A192" s="1" t="s">
        <v>210</v>
      </c>
    </row>
    <row r="193" spans="1:34">
      <c r="A193" s="89" t="s">
        <v>211</v>
      </c>
      <c r="B193" s="90"/>
      <c r="C193" s="90"/>
      <c r="D193" s="90"/>
      <c r="E193" s="90"/>
      <c r="F193" s="91"/>
      <c r="G193" s="46"/>
      <c r="H193" s="20"/>
      <c r="I193" s="20"/>
      <c r="J193" s="20"/>
      <c r="K193" s="20"/>
      <c r="L193" s="20"/>
      <c r="M193" s="20"/>
      <c r="N193" s="20"/>
      <c r="O193" s="22"/>
      <c r="P193" s="89" t="s">
        <v>214</v>
      </c>
      <c r="Q193" s="90"/>
      <c r="R193" s="90"/>
      <c r="S193" s="91"/>
      <c r="T193" s="89" t="s">
        <v>158</v>
      </c>
      <c r="U193" s="90"/>
      <c r="V193" s="90"/>
      <c r="W193" s="91"/>
      <c r="X193" s="46"/>
      <c r="Y193" s="20"/>
      <c r="Z193" s="20"/>
      <c r="AA193" s="20"/>
      <c r="AB193" s="20"/>
      <c r="AC193" s="22"/>
      <c r="AD193" s="89" t="s">
        <v>160</v>
      </c>
      <c r="AE193" s="90"/>
      <c r="AF193" s="91"/>
      <c r="AG193" s="89" t="s">
        <v>133</v>
      </c>
      <c r="AH193" s="91"/>
    </row>
    <row r="194" spans="1:34">
      <c r="A194" s="105" t="s">
        <v>212</v>
      </c>
      <c r="B194" s="106"/>
      <c r="C194" s="106"/>
      <c r="D194" s="106"/>
      <c r="E194" s="106"/>
      <c r="F194" s="107"/>
      <c r="G194" s="105" t="s">
        <v>213</v>
      </c>
      <c r="H194" s="106"/>
      <c r="I194" s="106"/>
      <c r="J194" s="106"/>
      <c r="K194" s="106"/>
      <c r="L194" s="106"/>
      <c r="M194" s="106"/>
      <c r="N194" s="106"/>
      <c r="O194" s="107"/>
      <c r="P194" s="71" t="s">
        <v>215</v>
      </c>
      <c r="Q194" s="72"/>
      <c r="R194" s="72"/>
      <c r="S194" s="73"/>
      <c r="T194" s="105" t="s">
        <v>134</v>
      </c>
      <c r="U194" s="106"/>
      <c r="V194" s="106"/>
      <c r="W194" s="107"/>
      <c r="X194" s="105" t="s">
        <v>161</v>
      </c>
      <c r="Y194" s="106"/>
      <c r="Z194" s="106"/>
      <c r="AA194" s="106"/>
      <c r="AB194" s="106"/>
      <c r="AC194" s="107"/>
      <c r="AD194" s="105" t="s">
        <v>123</v>
      </c>
      <c r="AE194" s="106"/>
      <c r="AF194" s="107"/>
      <c r="AG194" s="105" t="s">
        <v>114</v>
      </c>
      <c r="AH194" s="107"/>
    </row>
    <row r="195" spans="1:34">
      <c r="A195" s="103"/>
      <c r="B195" s="103"/>
      <c r="C195" s="103"/>
      <c r="D195" s="103"/>
      <c r="E195" s="103"/>
      <c r="F195" s="103"/>
      <c r="G195" s="103"/>
      <c r="H195" s="103"/>
      <c r="I195" s="103"/>
      <c r="J195" s="103"/>
      <c r="K195" s="103"/>
      <c r="L195" s="103"/>
      <c r="M195" s="103"/>
      <c r="N195" s="103"/>
      <c r="O195" s="103"/>
      <c r="P195" s="86"/>
      <c r="Q195" s="86"/>
      <c r="R195" s="86"/>
      <c r="S195" s="86"/>
      <c r="T195" s="100"/>
      <c r="U195" s="100"/>
      <c r="V195" s="100"/>
      <c r="W195" s="100"/>
      <c r="X195" s="103"/>
      <c r="Y195" s="103"/>
      <c r="Z195" s="103"/>
      <c r="AA195" s="103"/>
      <c r="AB195" s="103"/>
      <c r="AC195" s="103"/>
      <c r="AD195" s="86"/>
      <c r="AE195" s="86"/>
      <c r="AF195" s="86"/>
      <c r="AG195" s="125"/>
      <c r="AH195" s="125"/>
    </row>
    <row r="196" spans="1:34">
      <c r="A196" s="103"/>
      <c r="B196" s="103"/>
      <c r="C196" s="103"/>
      <c r="D196" s="103"/>
      <c r="E196" s="103"/>
      <c r="F196" s="103"/>
      <c r="G196" s="103"/>
      <c r="H196" s="103"/>
      <c r="I196" s="103"/>
      <c r="J196" s="103"/>
      <c r="K196" s="103"/>
      <c r="L196" s="103"/>
      <c r="M196" s="103"/>
      <c r="N196" s="103"/>
      <c r="O196" s="103"/>
      <c r="P196" s="86"/>
      <c r="Q196" s="86"/>
      <c r="R196" s="86"/>
      <c r="S196" s="86"/>
      <c r="T196" s="100"/>
      <c r="U196" s="100"/>
      <c r="V196" s="100"/>
      <c r="W196" s="100"/>
      <c r="X196" s="103"/>
      <c r="Y196" s="103"/>
      <c r="Z196" s="103"/>
      <c r="AA196" s="103"/>
      <c r="AB196" s="103"/>
      <c r="AC196" s="103"/>
      <c r="AD196" s="86"/>
      <c r="AE196" s="86"/>
      <c r="AF196" s="86"/>
      <c r="AG196" s="125"/>
      <c r="AH196" s="125"/>
    </row>
    <row r="197" spans="1:34">
      <c r="A197" s="103"/>
      <c r="B197" s="103"/>
      <c r="C197" s="103"/>
      <c r="D197" s="103"/>
      <c r="E197" s="103"/>
      <c r="F197" s="103"/>
      <c r="G197" s="103"/>
      <c r="H197" s="103"/>
      <c r="I197" s="103"/>
      <c r="J197" s="103"/>
      <c r="K197" s="103"/>
      <c r="L197" s="103"/>
      <c r="M197" s="103"/>
      <c r="N197" s="103"/>
      <c r="O197" s="103"/>
      <c r="P197" s="86"/>
      <c r="Q197" s="86"/>
      <c r="R197" s="86"/>
      <c r="S197" s="86"/>
      <c r="T197" s="100"/>
      <c r="U197" s="100"/>
      <c r="V197" s="100"/>
      <c r="W197" s="100"/>
      <c r="X197" s="103"/>
      <c r="Y197" s="103"/>
      <c r="Z197" s="103"/>
      <c r="AA197" s="103"/>
      <c r="AB197" s="103"/>
      <c r="AC197" s="103"/>
      <c r="AD197" s="86"/>
      <c r="AE197" s="86"/>
      <c r="AF197" s="86"/>
      <c r="AG197" s="125"/>
      <c r="AH197" s="125"/>
    </row>
    <row r="198" spans="1:34">
      <c r="A198" s="103"/>
      <c r="B198" s="103"/>
      <c r="C198" s="103"/>
      <c r="D198" s="103"/>
      <c r="E198" s="103"/>
      <c r="F198" s="103"/>
      <c r="G198" s="103"/>
      <c r="H198" s="103"/>
      <c r="I198" s="103"/>
      <c r="J198" s="103"/>
      <c r="K198" s="103"/>
      <c r="L198" s="103"/>
      <c r="M198" s="103"/>
      <c r="N198" s="103"/>
      <c r="O198" s="103"/>
      <c r="P198" s="86"/>
      <c r="Q198" s="86"/>
      <c r="R198" s="86"/>
      <c r="S198" s="86"/>
      <c r="T198" s="100"/>
      <c r="U198" s="100"/>
      <c r="V198" s="100"/>
      <c r="W198" s="100"/>
      <c r="X198" s="103"/>
      <c r="Y198" s="103"/>
      <c r="Z198" s="103"/>
      <c r="AA198" s="103"/>
      <c r="AB198" s="103"/>
      <c r="AC198" s="103"/>
      <c r="AD198" s="86"/>
      <c r="AE198" s="86"/>
      <c r="AF198" s="86"/>
      <c r="AG198" s="125"/>
      <c r="AH198" s="125"/>
    </row>
    <row r="199" spans="1:34">
      <c r="A199" s="103"/>
      <c r="B199" s="103"/>
      <c r="C199" s="103"/>
      <c r="D199" s="103"/>
      <c r="E199" s="103"/>
      <c r="F199" s="103"/>
      <c r="G199" s="103"/>
      <c r="H199" s="103"/>
      <c r="I199" s="103"/>
      <c r="J199" s="103"/>
      <c r="K199" s="103"/>
      <c r="L199" s="103"/>
      <c r="M199" s="103"/>
      <c r="N199" s="103"/>
      <c r="O199" s="103"/>
      <c r="P199" s="86"/>
      <c r="Q199" s="86"/>
      <c r="R199" s="86"/>
      <c r="S199" s="86"/>
      <c r="T199" s="100"/>
      <c r="U199" s="100"/>
      <c r="V199" s="100"/>
      <c r="W199" s="100"/>
      <c r="X199" s="103"/>
      <c r="Y199" s="103"/>
      <c r="Z199" s="103"/>
      <c r="AA199" s="103"/>
      <c r="AB199" s="103"/>
      <c r="AC199" s="103"/>
      <c r="AD199" s="86"/>
      <c r="AE199" s="86"/>
      <c r="AF199" s="86"/>
      <c r="AG199" s="125"/>
      <c r="AH199" s="125"/>
    </row>
    <row r="200" spans="1:34">
      <c r="A200" s="103"/>
      <c r="B200" s="103"/>
      <c r="C200" s="103"/>
      <c r="D200" s="103"/>
      <c r="E200" s="103"/>
      <c r="F200" s="103"/>
      <c r="G200" s="103"/>
      <c r="H200" s="103"/>
      <c r="I200" s="103"/>
      <c r="J200" s="103"/>
      <c r="K200" s="103"/>
      <c r="L200" s="103"/>
      <c r="M200" s="103"/>
      <c r="N200" s="103"/>
      <c r="O200" s="103"/>
      <c r="P200" s="86"/>
      <c r="Q200" s="86"/>
      <c r="R200" s="86"/>
      <c r="S200" s="86"/>
      <c r="T200" s="100"/>
      <c r="U200" s="100"/>
      <c r="V200" s="100"/>
      <c r="W200" s="100"/>
      <c r="X200" s="103"/>
      <c r="Y200" s="103"/>
      <c r="Z200" s="103"/>
      <c r="AA200" s="103"/>
      <c r="AB200" s="103"/>
      <c r="AC200" s="103"/>
      <c r="AD200" s="86"/>
      <c r="AE200" s="86"/>
      <c r="AF200" s="86"/>
      <c r="AG200" s="125"/>
      <c r="AH200" s="125"/>
    </row>
    <row r="201" spans="1:34">
      <c r="A201" s="103"/>
      <c r="B201" s="103"/>
      <c r="C201" s="103"/>
      <c r="D201" s="103"/>
      <c r="E201" s="103"/>
      <c r="F201" s="103"/>
      <c r="G201" s="103"/>
      <c r="H201" s="103"/>
      <c r="I201" s="103"/>
      <c r="J201" s="103"/>
      <c r="K201" s="103"/>
      <c r="L201" s="103"/>
      <c r="M201" s="103"/>
      <c r="N201" s="103"/>
      <c r="O201" s="103"/>
      <c r="P201" s="86"/>
      <c r="Q201" s="86"/>
      <c r="R201" s="86"/>
      <c r="S201" s="86"/>
      <c r="T201" s="100"/>
      <c r="U201" s="100"/>
      <c r="V201" s="100"/>
      <c r="W201" s="100"/>
      <c r="X201" s="103"/>
      <c r="Y201" s="103"/>
      <c r="Z201" s="103"/>
      <c r="AA201" s="103"/>
      <c r="AB201" s="103"/>
      <c r="AC201" s="103"/>
      <c r="AD201" s="86"/>
      <c r="AE201" s="86"/>
      <c r="AF201" s="86"/>
      <c r="AG201" s="125"/>
      <c r="AH201" s="125"/>
    </row>
    <row r="202" spans="1:34">
      <c r="A202" s="103"/>
      <c r="B202" s="103"/>
      <c r="C202" s="103"/>
      <c r="D202" s="103"/>
      <c r="E202" s="103"/>
      <c r="F202" s="103"/>
      <c r="G202" s="103"/>
      <c r="H202" s="103"/>
      <c r="I202" s="103"/>
      <c r="J202" s="103"/>
      <c r="K202" s="103"/>
      <c r="L202" s="103"/>
      <c r="M202" s="103"/>
      <c r="N202" s="103"/>
      <c r="O202" s="103"/>
      <c r="P202" s="86"/>
      <c r="Q202" s="86"/>
      <c r="R202" s="86"/>
      <c r="S202" s="86"/>
      <c r="T202" s="100"/>
      <c r="U202" s="100"/>
      <c r="V202" s="100"/>
      <c r="W202" s="100"/>
      <c r="X202" s="103"/>
      <c r="Y202" s="103"/>
      <c r="Z202" s="103"/>
      <c r="AA202" s="103"/>
      <c r="AB202" s="103"/>
      <c r="AC202" s="103"/>
      <c r="AD202" s="86"/>
      <c r="AE202" s="86"/>
      <c r="AF202" s="86"/>
      <c r="AG202" s="125"/>
      <c r="AH202" s="125"/>
    </row>
    <row r="203" spans="1:34">
      <c r="A203" s="103"/>
      <c r="B203" s="103"/>
      <c r="C203" s="103"/>
      <c r="D203" s="103"/>
      <c r="E203" s="103"/>
      <c r="F203" s="103"/>
      <c r="G203" s="103"/>
      <c r="H203" s="103"/>
      <c r="I203" s="103"/>
      <c r="J203" s="103"/>
      <c r="K203" s="103"/>
      <c r="L203" s="103"/>
      <c r="M203" s="103"/>
      <c r="N203" s="103"/>
      <c r="O203" s="103"/>
      <c r="P203" s="86"/>
      <c r="Q203" s="86"/>
      <c r="R203" s="86"/>
      <c r="S203" s="86"/>
      <c r="T203" s="100"/>
      <c r="U203" s="100"/>
      <c r="V203" s="100"/>
      <c r="W203" s="100"/>
      <c r="X203" s="103"/>
      <c r="Y203" s="103"/>
      <c r="Z203" s="103"/>
      <c r="AA203" s="103"/>
      <c r="AB203" s="103"/>
      <c r="AC203" s="103"/>
      <c r="AD203" s="86"/>
      <c r="AE203" s="86"/>
      <c r="AF203" s="86"/>
      <c r="AG203" s="125"/>
      <c r="AH203" s="125"/>
    </row>
    <row r="204" spans="1:34">
      <c r="A204" s="15"/>
      <c r="B204" s="15"/>
      <c r="C204" s="15"/>
      <c r="D204" s="15"/>
      <c r="E204" s="15"/>
      <c r="F204" s="15"/>
      <c r="G204" s="15"/>
      <c r="H204" s="15"/>
      <c r="I204" s="15"/>
      <c r="J204" s="15"/>
      <c r="K204" s="15"/>
      <c r="L204" s="15"/>
      <c r="M204" s="15" t="s">
        <v>28</v>
      </c>
      <c r="N204" s="15"/>
      <c r="O204" s="15"/>
      <c r="P204" s="100">
        <f>SUM(P195:S203)</f>
        <v>0</v>
      </c>
      <c r="Q204" s="100"/>
      <c r="R204" s="100"/>
      <c r="S204" s="100"/>
      <c r="T204" s="15"/>
      <c r="U204" s="15"/>
      <c r="V204" s="15"/>
      <c r="W204" s="15"/>
      <c r="X204" s="15"/>
      <c r="Y204" s="15"/>
      <c r="Z204" s="15"/>
      <c r="AA204" s="15"/>
      <c r="AB204" s="15"/>
      <c r="AC204" s="15"/>
      <c r="AD204" s="15"/>
      <c r="AE204" s="12"/>
      <c r="AF204" s="12"/>
      <c r="AG204" s="12"/>
      <c r="AH204" s="12"/>
    </row>
    <row r="205" spans="1:34">
      <c r="A205" s="2"/>
      <c r="B205" s="2"/>
      <c r="C205" s="2"/>
      <c r="D205" s="2"/>
      <c r="E205" s="2"/>
      <c r="F205" s="2"/>
      <c r="G205" s="2"/>
      <c r="H205" s="2"/>
      <c r="I205" s="2"/>
      <c r="J205" s="2"/>
      <c r="K205" s="2"/>
      <c r="L205" s="2"/>
      <c r="M205" s="2"/>
      <c r="N205" s="2"/>
      <c r="O205" s="2"/>
      <c r="P205" s="252" t="s">
        <v>203</v>
      </c>
      <c r="Q205" s="252"/>
      <c r="R205" s="252"/>
      <c r="S205" s="252"/>
      <c r="T205" s="2"/>
      <c r="U205" s="2"/>
      <c r="V205" s="2"/>
      <c r="W205" s="2"/>
      <c r="X205" s="2"/>
      <c r="Y205" s="2"/>
      <c r="Z205" s="2"/>
      <c r="AA205" s="2"/>
      <c r="AB205" s="2"/>
      <c r="AC205" s="2"/>
      <c r="AD205" s="2"/>
    </row>
    <row r="206" spans="1:34" ht="13.5" thickBot="1"/>
    <row r="207" spans="1:34" ht="46.5" customHeight="1" thickBot="1">
      <c r="B207" s="175" t="s">
        <v>207</v>
      </c>
      <c r="C207" s="176"/>
      <c r="D207" s="176"/>
      <c r="E207" s="176"/>
      <c r="F207" s="176"/>
      <c r="G207" s="176"/>
      <c r="H207" s="176"/>
      <c r="I207" s="176"/>
      <c r="J207" s="176"/>
      <c r="K207" s="176"/>
      <c r="L207" s="176"/>
      <c r="M207" s="176"/>
      <c r="N207" s="176"/>
      <c r="O207" s="176"/>
      <c r="P207" s="176"/>
      <c r="Q207" s="176"/>
      <c r="R207" s="176"/>
      <c r="S207" s="176"/>
      <c r="T207" s="176"/>
      <c r="U207" s="176"/>
      <c r="V207" s="176"/>
      <c r="W207" s="176"/>
      <c r="X207" s="176"/>
      <c r="Y207" s="176"/>
      <c r="Z207" s="176"/>
      <c r="AA207" s="176"/>
      <c r="AB207" s="176"/>
      <c r="AC207" s="176"/>
      <c r="AD207" s="176"/>
      <c r="AE207" s="176"/>
      <c r="AF207" s="176"/>
      <c r="AG207" s="177"/>
    </row>
    <row r="208" spans="1:34">
      <c r="B208" s="2"/>
    </row>
    <row r="211" spans="1:34">
      <c r="A211" s="2" t="s">
        <v>208</v>
      </c>
      <c r="D211" s="178"/>
      <c r="E211" s="178"/>
      <c r="F211" s="178"/>
      <c r="G211" s="178"/>
      <c r="H211" s="178"/>
      <c r="I211" s="178"/>
      <c r="K211" s="69" t="s">
        <v>209</v>
      </c>
      <c r="L211" s="69"/>
      <c r="M211" s="69"/>
      <c r="N211" s="70"/>
      <c r="O211" s="7"/>
      <c r="P211" s="7"/>
      <c r="Q211" s="7"/>
      <c r="R211" s="7"/>
      <c r="S211" s="7"/>
      <c r="T211" s="7"/>
      <c r="U211" s="7"/>
      <c r="V211" s="7"/>
      <c r="W211" s="8"/>
      <c r="X211" t="s">
        <v>209</v>
      </c>
      <c r="AA211" s="7"/>
      <c r="AB211" s="7"/>
      <c r="AC211" s="7"/>
      <c r="AD211" s="7"/>
      <c r="AE211" s="7"/>
      <c r="AF211" s="7"/>
      <c r="AG211" s="7"/>
      <c r="AH211" s="7"/>
    </row>
    <row r="212" spans="1:34">
      <c r="N212" s="90" t="str">
        <f>F10</f>
        <v>Scott Tomsu</v>
      </c>
      <c r="O212" s="90"/>
      <c r="P212" s="90"/>
      <c r="Q212" s="90"/>
      <c r="R212" s="90"/>
      <c r="S212" s="90"/>
      <c r="T212" s="90"/>
      <c r="U212" s="90"/>
      <c r="V212" s="90"/>
      <c r="AA212" s="90" t="str">
        <f>IF(X11="","",X11)</f>
        <v/>
      </c>
      <c r="AB212" s="90"/>
      <c r="AC212" s="90"/>
      <c r="AD212" s="90"/>
      <c r="AE212" s="90"/>
      <c r="AF212" s="90"/>
      <c r="AG212" s="90"/>
      <c r="AH212" s="90"/>
    </row>
  </sheetData>
  <mergeCells count="812">
    <mergeCell ref="AE174:AH174"/>
    <mergeCell ref="AE169:AH169"/>
    <mergeCell ref="AE170:AH170"/>
    <mergeCell ref="AE171:AH171"/>
    <mergeCell ref="AD161:AH161"/>
    <mergeCell ref="AA155:AH155"/>
    <mergeCell ref="Z160:AC160"/>
    <mergeCell ref="X153:Z153"/>
    <mergeCell ref="AA153:AH153"/>
    <mergeCell ref="X154:Z154"/>
    <mergeCell ref="AE172:AH172"/>
    <mergeCell ref="Z164:AC164"/>
    <mergeCell ref="AD164:AH164"/>
    <mergeCell ref="Z161:AC161"/>
    <mergeCell ref="AA154:AH154"/>
    <mergeCell ref="AD163:AH163"/>
    <mergeCell ref="Z187:AH187"/>
    <mergeCell ref="Z188:AH188"/>
    <mergeCell ref="Z185:AH185"/>
    <mergeCell ref="Z186:AH186"/>
    <mergeCell ref="W183:Y183"/>
    <mergeCell ref="Z183:AH183"/>
    <mergeCell ref="AA177:AD177"/>
    <mergeCell ref="AE177:AH177"/>
    <mergeCell ref="AA176:AD176"/>
    <mergeCell ref="AE176:AH176"/>
    <mergeCell ref="W184:Y184"/>
    <mergeCell ref="Z184:AH184"/>
    <mergeCell ref="Z182:AH182"/>
    <mergeCell ref="W178:Z178"/>
    <mergeCell ref="AA178:AD178"/>
    <mergeCell ref="AE178:AH178"/>
    <mergeCell ref="AG194:AH194"/>
    <mergeCell ref="AD193:AF193"/>
    <mergeCell ref="AD194:AF194"/>
    <mergeCell ref="P205:S205"/>
    <mergeCell ref="AG193:AH193"/>
    <mergeCell ref="X203:AC203"/>
    <mergeCell ref="P201:S201"/>
    <mergeCell ref="T201:W201"/>
    <mergeCell ref="AD203:AF203"/>
    <mergeCell ref="X202:AC202"/>
    <mergeCell ref="AD202:AF202"/>
    <mergeCell ref="X200:AC200"/>
    <mergeCell ref="AD200:AF200"/>
    <mergeCell ref="X194:AC194"/>
    <mergeCell ref="P199:S199"/>
    <mergeCell ref="T199:W199"/>
    <mergeCell ref="X199:AC199"/>
    <mergeCell ref="AD199:AF199"/>
    <mergeCell ref="AD201:AF201"/>
    <mergeCell ref="A200:F200"/>
    <mergeCell ref="G200:O200"/>
    <mergeCell ref="A203:F203"/>
    <mergeCell ref="X201:AC201"/>
    <mergeCell ref="A198:F198"/>
    <mergeCell ref="G198:O198"/>
    <mergeCell ref="P198:S198"/>
    <mergeCell ref="T198:W198"/>
    <mergeCell ref="P200:S200"/>
    <mergeCell ref="T200:W200"/>
    <mergeCell ref="A202:F202"/>
    <mergeCell ref="G202:O202"/>
    <mergeCell ref="P202:S202"/>
    <mergeCell ref="T202:W202"/>
    <mergeCell ref="G203:O203"/>
    <mergeCell ref="P203:S203"/>
    <mergeCell ref="T203:W203"/>
    <mergeCell ref="A201:F201"/>
    <mergeCell ref="G201:O201"/>
    <mergeCell ref="S190:V190"/>
    <mergeCell ref="S189:V189"/>
    <mergeCell ref="A195:F195"/>
    <mergeCell ref="G195:O195"/>
    <mergeCell ref="P195:S195"/>
    <mergeCell ref="T195:W195"/>
    <mergeCell ref="P193:S193"/>
    <mergeCell ref="T193:W193"/>
    <mergeCell ref="T194:W194"/>
    <mergeCell ref="A193:F193"/>
    <mergeCell ref="A194:F194"/>
    <mergeCell ref="G194:O194"/>
    <mergeCell ref="P186:R186"/>
    <mergeCell ref="S186:V186"/>
    <mergeCell ref="W186:Y186"/>
    <mergeCell ref="A187:O187"/>
    <mergeCell ref="P187:R187"/>
    <mergeCell ref="S187:V187"/>
    <mergeCell ref="W187:Y187"/>
    <mergeCell ref="A188:O188"/>
    <mergeCell ref="P188:R188"/>
    <mergeCell ref="S188:V188"/>
    <mergeCell ref="W188:Y188"/>
    <mergeCell ref="A186:O186"/>
    <mergeCell ref="A183:O183"/>
    <mergeCell ref="P183:R183"/>
    <mergeCell ref="S183:V183"/>
    <mergeCell ref="A185:O185"/>
    <mergeCell ref="P185:R185"/>
    <mergeCell ref="S185:V185"/>
    <mergeCell ref="W185:Y185"/>
    <mergeCell ref="W182:Y182"/>
    <mergeCell ref="S181:V181"/>
    <mergeCell ref="S182:V182"/>
    <mergeCell ref="W181:Y181"/>
    <mergeCell ref="A184:O184"/>
    <mergeCell ref="P184:R184"/>
    <mergeCell ref="S184:V184"/>
    <mergeCell ref="Y135:AB135"/>
    <mergeCell ref="Y145:AB145"/>
    <mergeCell ref="Y146:AB146"/>
    <mergeCell ref="K164:M164"/>
    <mergeCell ref="N164:Q164"/>
    <mergeCell ref="R164:U164"/>
    <mergeCell ref="V164:Y164"/>
    <mergeCell ref="A163:F163"/>
    <mergeCell ref="G163:J163"/>
    <mergeCell ref="K163:M163"/>
    <mergeCell ref="N163:Q163"/>
    <mergeCell ref="R163:U163"/>
    <mergeCell ref="V163:Y163"/>
    <mergeCell ref="Z163:AC163"/>
    <mergeCell ref="V161:Y161"/>
    <mergeCell ref="A164:F164"/>
    <mergeCell ref="G164:J164"/>
    <mergeCell ref="A155:J155"/>
    <mergeCell ref="K155:L155"/>
    <mergeCell ref="N160:Q160"/>
    <mergeCell ref="A162:F162"/>
    <mergeCell ref="A152:J152"/>
    <mergeCell ref="K152:L152"/>
    <mergeCell ref="M152:S152"/>
    <mergeCell ref="AB60:AC60"/>
    <mergeCell ref="AE60:AH60"/>
    <mergeCell ref="W177:Z177"/>
    <mergeCell ref="S175:V175"/>
    <mergeCell ref="W175:Z175"/>
    <mergeCell ref="AA175:AD175"/>
    <mergeCell ref="AE175:AH175"/>
    <mergeCell ref="S176:V176"/>
    <mergeCell ref="W176:Z176"/>
    <mergeCell ref="W173:Z173"/>
    <mergeCell ref="W171:Z171"/>
    <mergeCell ref="AA171:AD171"/>
    <mergeCell ref="AA173:AD173"/>
    <mergeCell ref="AE173:AH173"/>
    <mergeCell ref="S174:V174"/>
    <mergeCell ref="W174:Z174"/>
    <mergeCell ref="AA174:AD174"/>
    <mergeCell ref="W172:Z172"/>
    <mergeCell ref="AA172:AD172"/>
    <mergeCell ref="S60:AA60"/>
    <mergeCell ref="Z165:AC165"/>
    <mergeCell ref="Z162:AC162"/>
    <mergeCell ref="AD162:AH162"/>
    <mergeCell ref="Y134:AB134"/>
    <mergeCell ref="K162:M162"/>
    <mergeCell ref="N162:Q162"/>
    <mergeCell ref="M155:S155"/>
    <mergeCell ref="A161:F161"/>
    <mergeCell ref="G161:J161"/>
    <mergeCell ref="K161:M161"/>
    <mergeCell ref="N161:Q161"/>
    <mergeCell ref="R161:U161"/>
    <mergeCell ref="R162:U162"/>
    <mergeCell ref="P172:R172"/>
    <mergeCell ref="S172:V172"/>
    <mergeCell ref="A182:O182"/>
    <mergeCell ref="P182:R182"/>
    <mergeCell ref="S178:V178"/>
    <mergeCell ref="A176:O176"/>
    <mergeCell ref="A175:O175"/>
    <mergeCell ref="P175:R175"/>
    <mergeCell ref="P176:R176"/>
    <mergeCell ref="A174:O174"/>
    <mergeCell ref="P174:R174"/>
    <mergeCell ref="A173:O173"/>
    <mergeCell ref="P173:R173"/>
    <mergeCell ref="S173:V173"/>
    <mergeCell ref="S177:V177"/>
    <mergeCell ref="A172:O172"/>
    <mergeCell ref="A170:O170"/>
    <mergeCell ref="A171:O171"/>
    <mergeCell ref="P171:R171"/>
    <mergeCell ref="S171:V171"/>
    <mergeCell ref="T153:W153"/>
    <mergeCell ref="AD160:AH160"/>
    <mergeCell ref="T156:W156"/>
    <mergeCell ref="G160:J160"/>
    <mergeCell ref="R160:U160"/>
    <mergeCell ref="V160:Y160"/>
    <mergeCell ref="T155:W155"/>
    <mergeCell ref="X155:Z155"/>
    <mergeCell ref="V162:Y162"/>
    <mergeCell ref="A153:J153"/>
    <mergeCell ref="K153:L153"/>
    <mergeCell ref="M153:S153"/>
    <mergeCell ref="N165:Q165"/>
    <mergeCell ref="R165:U165"/>
    <mergeCell ref="V165:Y165"/>
    <mergeCell ref="P170:R170"/>
    <mergeCell ref="A154:J154"/>
    <mergeCell ref="K154:L154"/>
    <mergeCell ref="M154:S154"/>
    <mergeCell ref="G162:J162"/>
    <mergeCell ref="X150:Z150"/>
    <mergeCell ref="AA150:AH150"/>
    <mergeCell ref="X151:Z151"/>
    <mergeCell ref="AA151:AH151"/>
    <mergeCell ref="A151:J151"/>
    <mergeCell ref="K151:L151"/>
    <mergeCell ref="A150:J150"/>
    <mergeCell ref="K149:L149"/>
    <mergeCell ref="K150:L150"/>
    <mergeCell ref="M151:S151"/>
    <mergeCell ref="Q145:T145"/>
    <mergeCell ref="U145:X145"/>
    <mergeCell ref="Q146:T146"/>
    <mergeCell ref="U146:X146"/>
    <mergeCell ref="W169:Z169"/>
    <mergeCell ref="W170:Z170"/>
    <mergeCell ref="S169:V169"/>
    <mergeCell ref="S170:V170"/>
    <mergeCell ref="T151:W151"/>
    <mergeCell ref="T149:W149"/>
    <mergeCell ref="T152:W152"/>
    <mergeCell ref="X152:Z152"/>
    <mergeCell ref="T157:W157"/>
    <mergeCell ref="T154:W154"/>
    <mergeCell ref="N166:Q166"/>
    <mergeCell ref="R166:U166"/>
    <mergeCell ref="V166:Y166"/>
    <mergeCell ref="Z166:AC166"/>
    <mergeCell ref="AA169:AD169"/>
    <mergeCell ref="AA170:AD170"/>
    <mergeCell ref="AA152:AH152"/>
    <mergeCell ref="X149:Z149"/>
    <mergeCell ref="M150:S150"/>
    <mergeCell ref="T150:W150"/>
    <mergeCell ref="Y143:AB143"/>
    <mergeCell ref="AC143:AH143"/>
    <mergeCell ref="Y144:AB144"/>
    <mergeCell ref="AC144:AH144"/>
    <mergeCell ref="A141:K141"/>
    <mergeCell ref="M141:P141"/>
    <mergeCell ref="Q141:T141"/>
    <mergeCell ref="U141:X141"/>
    <mergeCell ref="A142:K142"/>
    <mergeCell ref="M142:P142"/>
    <mergeCell ref="Q142:T142"/>
    <mergeCell ref="U142:X142"/>
    <mergeCell ref="A143:K143"/>
    <mergeCell ref="M143:P143"/>
    <mergeCell ref="Q143:T143"/>
    <mergeCell ref="U143:X143"/>
    <mergeCell ref="A144:K144"/>
    <mergeCell ref="M144:P144"/>
    <mergeCell ref="Q144:T144"/>
    <mergeCell ref="U144:X144"/>
    <mergeCell ref="A140:K140"/>
    <mergeCell ref="M140:P140"/>
    <mergeCell ref="U139:X139"/>
    <mergeCell ref="U140:X140"/>
    <mergeCell ref="M139:P139"/>
    <mergeCell ref="Q139:T139"/>
    <mergeCell ref="Y141:AB141"/>
    <mergeCell ref="AC141:AH141"/>
    <mergeCell ref="Y142:AB142"/>
    <mergeCell ref="AC142:AH142"/>
    <mergeCell ref="Q138:X138"/>
    <mergeCell ref="M128:P128"/>
    <mergeCell ref="Q128:T128"/>
    <mergeCell ref="U128:X128"/>
    <mergeCell ref="U130:X130"/>
    <mergeCell ref="U134:X134"/>
    <mergeCell ref="U135:X135"/>
    <mergeCell ref="Q132:T132"/>
    <mergeCell ref="U132:X132"/>
    <mergeCell ref="Q130:T130"/>
    <mergeCell ref="A131:K131"/>
    <mergeCell ref="M131:P131"/>
    <mergeCell ref="Q131:T131"/>
    <mergeCell ref="Y128:AH128"/>
    <mergeCell ref="A129:K129"/>
    <mergeCell ref="M129:P129"/>
    <mergeCell ref="Q129:T129"/>
    <mergeCell ref="U129:X129"/>
    <mergeCell ref="Y129:AB129"/>
    <mergeCell ref="AC129:AH129"/>
    <mergeCell ref="A133:K133"/>
    <mergeCell ref="M133:P133"/>
    <mergeCell ref="U133:X133"/>
    <mergeCell ref="Y133:AB133"/>
    <mergeCell ref="AE123:AH123"/>
    <mergeCell ref="AE124:AH124"/>
    <mergeCell ref="AE125:AH125"/>
    <mergeCell ref="Q140:T140"/>
    <mergeCell ref="Y139:AH139"/>
    <mergeCell ref="Y140:AB140"/>
    <mergeCell ref="AC140:AH140"/>
    <mergeCell ref="Y132:AB132"/>
    <mergeCell ref="AC132:AH132"/>
    <mergeCell ref="Q133:T133"/>
    <mergeCell ref="AC133:AH133"/>
    <mergeCell ref="A132:K132"/>
    <mergeCell ref="M132:P132"/>
    <mergeCell ref="Y130:AB130"/>
    <mergeCell ref="AC130:AH130"/>
    <mergeCell ref="U131:X131"/>
    <mergeCell ref="Y131:AB131"/>
    <mergeCell ref="AC131:AH131"/>
    <mergeCell ref="A130:K130"/>
    <mergeCell ref="M130:P130"/>
    <mergeCell ref="V122:X122"/>
    <mergeCell ref="Y122:AA122"/>
    <mergeCell ref="AB122:AD122"/>
    <mergeCell ref="A122:B122"/>
    <mergeCell ref="C122:D122"/>
    <mergeCell ref="F122:J122"/>
    <mergeCell ref="K122:O122"/>
    <mergeCell ref="AE122:AH122"/>
    <mergeCell ref="A123:B123"/>
    <mergeCell ref="C123:D123"/>
    <mergeCell ref="F123:J123"/>
    <mergeCell ref="K123:O123"/>
    <mergeCell ref="P123:U123"/>
    <mergeCell ref="V123:X123"/>
    <mergeCell ref="Y123:AA123"/>
    <mergeCell ref="AB123:AD123"/>
    <mergeCell ref="P122:U122"/>
    <mergeCell ref="A121:B121"/>
    <mergeCell ref="C121:D121"/>
    <mergeCell ref="F121:J121"/>
    <mergeCell ref="K121:O121"/>
    <mergeCell ref="P121:U121"/>
    <mergeCell ref="V121:X121"/>
    <mergeCell ref="Y121:AA121"/>
    <mergeCell ref="AB121:AD121"/>
    <mergeCell ref="AE121:AH121"/>
    <mergeCell ref="A120:B120"/>
    <mergeCell ref="C120:D120"/>
    <mergeCell ref="F120:J120"/>
    <mergeCell ref="K120:O120"/>
    <mergeCell ref="P120:U120"/>
    <mergeCell ref="V120:X120"/>
    <mergeCell ref="Y120:AA120"/>
    <mergeCell ref="AB120:AD120"/>
    <mergeCell ref="AE120:AH120"/>
    <mergeCell ref="A10:E10"/>
    <mergeCell ref="F10:Q10"/>
    <mergeCell ref="S10:W10"/>
    <mergeCell ref="X10:AH10"/>
    <mergeCell ref="A6:AH6"/>
    <mergeCell ref="A7:AH7"/>
    <mergeCell ref="F8:N8"/>
    <mergeCell ref="S8:AH8"/>
    <mergeCell ref="C119:D119"/>
    <mergeCell ref="F119:J119"/>
    <mergeCell ref="K119:O119"/>
    <mergeCell ref="P119:U119"/>
    <mergeCell ref="V119:X119"/>
    <mergeCell ref="Y119:AA119"/>
    <mergeCell ref="A13:E13"/>
    <mergeCell ref="F13:Q13"/>
    <mergeCell ref="S13:W13"/>
    <mergeCell ref="X13:AH13"/>
    <mergeCell ref="A12:E12"/>
    <mergeCell ref="F12:Q12"/>
    <mergeCell ref="S12:W12"/>
    <mergeCell ref="X12:AH12"/>
    <mergeCell ref="A11:E11"/>
    <mergeCell ref="F11:Q11"/>
    <mergeCell ref="S11:W11"/>
    <mergeCell ref="X11:AH11"/>
    <mergeCell ref="A16:E16"/>
    <mergeCell ref="F16:Q16"/>
    <mergeCell ref="S16:W16"/>
    <mergeCell ref="X16:AH16"/>
    <mergeCell ref="A15:E15"/>
    <mergeCell ref="F15:Q15"/>
    <mergeCell ref="S15:W15"/>
    <mergeCell ref="X15:AH15"/>
    <mergeCell ref="A14:E14"/>
    <mergeCell ref="F14:Q14"/>
    <mergeCell ref="S14:W14"/>
    <mergeCell ref="X14:AH14"/>
    <mergeCell ref="S18:W18"/>
    <mergeCell ref="X18:AH18"/>
    <mergeCell ref="A20:V20"/>
    <mergeCell ref="W20:AH20"/>
    <mergeCell ref="W22:AC22"/>
    <mergeCell ref="A17:E17"/>
    <mergeCell ref="F17:Q17"/>
    <mergeCell ref="S17:W17"/>
    <mergeCell ref="X17:AH17"/>
    <mergeCell ref="AE26:AH26"/>
    <mergeCell ref="N23:Q23"/>
    <mergeCell ref="S23:V23"/>
    <mergeCell ref="AE23:AH23"/>
    <mergeCell ref="N24:Q24"/>
    <mergeCell ref="S24:V24"/>
    <mergeCell ref="AE24:AH24"/>
    <mergeCell ref="A21:V21"/>
    <mergeCell ref="M22:Q22"/>
    <mergeCell ref="S22:V22"/>
    <mergeCell ref="AE22:AH22"/>
    <mergeCell ref="A23:L23"/>
    <mergeCell ref="A24:L24"/>
    <mergeCell ref="A25:L25"/>
    <mergeCell ref="A26:F26"/>
    <mergeCell ref="N25:Q25"/>
    <mergeCell ref="W23:AC23"/>
    <mergeCell ref="W24:AC24"/>
    <mergeCell ref="W25:AC25"/>
    <mergeCell ref="W26:AC26"/>
    <mergeCell ref="G26:L26"/>
    <mergeCell ref="N26:Q26"/>
    <mergeCell ref="S26:V26"/>
    <mergeCell ref="S25:V25"/>
    <mergeCell ref="A119:B119"/>
    <mergeCell ref="AE28:AH28"/>
    <mergeCell ref="A27:L27"/>
    <mergeCell ref="N27:Q27"/>
    <mergeCell ref="S27:V27"/>
    <mergeCell ref="AE27:AH27"/>
    <mergeCell ref="A28:L28"/>
    <mergeCell ref="AB119:AD119"/>
    <mergeCell ref="AE119:AH119"/>
    <mergeCell ref="AB53:AC53"/>
    <mergeCell ref="AD70:AH70"/>
    <mergeCell ref="AD71:AH71"/>
    <mergeCell ref="A62:AH62"/>
    <mergeCell ref="A75:G75"/>
    <mergeCell ref="F118:O118"/>
    <mergeCell ref="V118:X118"/>
    <mergeCell ref="S58:AC58"/>
    <mergeCell ref="H63:L63"/>
    <mergeCell ref="Y63:AC63"/>
    <mergeCell ref="A43:Q43"/>
    <mergeCell ref="R43:AH43"/>
    <mergeCell ref="N44:Q44"/>
    <mergeCell ref="N45:Q45"/>
    <mergeCell ref="S44:AA44"/>
    <mergeCell ref="B207:AG207"/>
    <mergeCell ref="D211:I211"/>
    <mergeCell ref="N212:V212"/>
    <mergeCell ref="AA212:AH212"/>
    <mergeCell ref="AG195:AH195"/>
    <mergeCell ref="AG196:AH196"/>
    <mergeCell ref="X195:AC195"/>
    <mergeCell ref="AD195:AF195"/>
    <mergeCell ref="X196:AC196"/>
    <mergeCell ref="AD196:AF196"/>
    <mergeCell ref="A196:F196"/>
    <mergeCell ref="G196:O196"/>
    <mergeCell ref="P196:S196"/>
    <mergeCell ref="T196:W196"/>
    <mergeCell ref="P197:S197"/>
    <mergeCell ref="T197:W197"/>
    <mergeCell ref="X198:AC198"/>
    <mergeCell ref="AD198:AF198"/>
    <mergeCell ref="X197:AC197"/>
    <mergeCell ref="AD197:AF197"/>
    <mergeCell ref="A197:F197"/>
    <mergeCell ref="G197:O197"/>
    <mergeCell ref="A199:F199"/>
    <mergeCell ref="G199:O199"/>
    <mergeCell ref="S45:AA45"/>
    <mergeCell ref="B44:J44"/>
    <mergeCell ref="B45:J45"/>
    <mergeCell ref="K44:L44"/>
    <mergeCell ref="AB45:AC45"/>
    <mergeCell ref="N58:Q58"/>
    <mergeCell ref="AE44:AH44"/>
    <mergeCell ref="AE45:AH45"/>
    <mergeCell ref="AE46:AH46"/>
    <mergeCell ref="AE47:AH47"/>
    <mergeCell ref="AE48:AH48"/>
    <mergeCell ref="AE49:AH49"/>
    <mergeCell ref="AE50:AH50"/>
    <mergeCell ref="AE51:AH51"/>
    <mergeCell ref="AE52:AH52"/>
    <mergeCell ref="N50:Q50"/>
    <mergeCell ref="N51:Q51"/>
    <mergeCell ref="N52:Q52"/>
    <mergeCell ref="N53:Q53"/>
    <mergeCell ref="N46:Q46"/>
    <mergeCell ref="N47:Q47"/>
    <mergeCell ref="N48:Q48"/>
    <mergeCell ref="N49:Q49"/>
    <mergeCell ref="S53:AA53"/>
    <mergeCell ref="AE58:AH58"/>
    <mergeCell ref="AE53:AH53"/>
    <mergeCell ref="B53:J53"/>
    <mergeCell ref="K48:L48"/>
    <mergeCell ref="K49:L49"/>
    <mergeCell ref="K51:L51"/>
    <mergeCell ref="B52:J52"/>
    <mergeCell ref="B48:J48"/>
    <mergeCell ref="B49:J49"/>
    <mergeCell ref="AB50:AC50"/>
    <mergeCell ref="AB51:AC51"/>
    <mergeCell ref="AA55:AC55"/>
    <mergeCell ref="AE55:AH55"/>
    <mergeCell ref="AE25:AH25"/>
    <mergeCell ref="B35:M35"/>
    <mergeCell ref="S57:AC57"/>
    <mergeCell ref="AB54:AC54"/>
    <mergeCell ref="W29:AC29"/>
    <mergeCell ref="N28:Q28"/>
    <mergeCell ref="S28:V28"/>
    <mergeCell ref="B33:M33"/>
    <mergeCell ref="A29:V29"/>
    <mergeCell ref="S50:AA50"/>
    <mergeCell ref="S51:AA51"/>
    <mergeCell ref="A32:AH32"/>
    <mergeCell ref="AE29:AH29"/>
    <mergeCell ref="AE30:AH30"/>
    <mergeCell ref="W27:AC27"/>
    <mergeCell ref="W30:AC30"/>
    <mergeCell ref="S46:AA46"/>
    <mergeCell ref="S47:AA47"/>
    <mergeCell ref="S48:AA48"/>
    <mergeCell ref="S49:AA49"/>
    <mergeCell ref="K52:L52"/>
    <mergeCell ref="K53:L53"/>
    <mergeCell ref="K54:L54"/>
    <mergeCell ref="A30:V30"/>
    <mergeCell ref="W28:AC28"/>
    <mergeCell ref="AG198:AH198"/>
    <mergeCell ref="AG199:AH199"/>
    <mergeCell ref="AG200:AH200"/>
    <mergeCell ref="AG201:AH201"/>
    <mergeCell ref="AG197:AH197"/>
    <mergeCell ref="A34:T34"/>
    <mergeCell ref="A36:T36"/>
    <mergeCell ref="A42:AH42"/>
    <mergeCell ref="B58:L58"/>
    <mergeCell ref="K55:L55"/>
    <mergeCell ref="B56:J56"/>
    <mergeCell ref="B57:J57"/>
    <mergeCell ref="S56:AC56"/>
    <mergeCell ref="N57:Q57"/>
    <mergeCell ref="K47:L47"/>
    <mergeCell ref="K56:L56"/>
    <mergeCell ref="K57:L57"/>
    <mergeCell ref="B50:L50"/>
    <mergeCell ref="B54:J54"/>
    <mergeCell ref="B55:J55"/>
    <mergeCell ref="B51:J51"/>
    <mergeCell ref="B47:J47"/>
    <mergeCell ref="A64:G64"/>
    <mergeCell ref="H64:L64"/>
    <mergeCell ref="Y64:AC64"/>
    <mergeCell ref="AD64:AH64"/>
    <mergeCell ref="AG202:AH202"/>
    <mergeCell ref="AG203:AH203"/>
    <mergeCell ref="P204:S204"/>
    <mergeCell ref="AB44:AC44"/>
    <mergeCell ref="AB46:AC46"/>
    <mergeCell ref="AB47:AC47"/>
    <mergeCell ref="AB48:AC48"/>
    <mergeCell ref="AB49:AC49"/>
    <mergeCell ref="A61:AH61"/>
    <mergeCell ref="A63:G63"/>
    <mergeCell ref="K45:L45"/>
    <mergeCell ref="K46:L46"/>
    <mergeCell ref="B46:J46"/>
    <mergeCell ref="AE57:AH57"/>
    <mergeCell ref="AE54:AH54"/>
    <mergeCell ref="AE56:AH56"/>
    <mergeCell ref="N54:Q54"/>
    <mergeCell ref="N55:Q55"/>
    <mergeCell ref="N56:Q56"/>
    <mergeCell ref="S54:AA54"/>
    <mergeCell ref="Y67:AC67"/>
    <mergeCell ref="AD67:AH67"/>
    <mergeCell ref="A66:G66"/>
    <mergeCell ref="H66:L66"/>
    <mergeCell ref="Y66:AC66"/>
    <mergeCell ref="AD66:AH66"/>
    <mergeCell ref="A65:G65"/>
    <mergeCell ref="H65:L65"/>
    <mergeCell ref="Y65:AC65"/>
    <mergeCell ref="AD65:AH65"/>
    <mergeCell ref="M63:X63"/>
    <mergeCell ref="M64:X64"/>
    <mergeCell ref="M65:X65"/>
    <mergeCell ref="M66:X66"/>
    <mergeCell ref="M67:X67"/>
    <mergeCell ref="M68:X68"/>
    <mergeCell ref="M69:X69"/>
    <mergeCell ref="AD63:AH63"/>
    <mergeCell ref="AB75:AH75"/>
    <mergeCell ref="A74:AH74"/>
    <mergeCell ref="H75:L75"/>
    <mergeCell ref="M75:Q75"/>
    <mergeCell ref="R75:V75"/>
    <mergeCell ref="W75:AA75"/>
    <mergeCell ref="A69:G69"/>
    <mergeCell ref="H69:L69"/>
    <mergeCell ref="Y69:AC69"/>
    <mergeCell ref="AD69:AH69"/>
    <mergeCell ref="A68:G68"/>
    <mergeCell ref="H68:L68"/>
    <mergeCell ref="Y68:AC68"/>
    <mergeCell ref="AD68:AH68"/>
    <mergeCell ref="A67:G67"/>
    <mergeCell ref="H67:L67"/>
    <mergeCell ref="W77:AA77"/>
    <mergeCell ref="AB77:AH77"/>
    <mergeCell ref="A76:G76"/>
    <mergeCell ref="H76:L76"/>
    <mergeCell ref="A77:G77"/>
    <mergeCell ref="H77:L77"/>
    <mergeCell ref="M77:Q77"/>
    <mergeCell ref="R77:V77"/>
    <mergeCell ref="AD72:AH72"/>
    <mergeCell ref="M76:Q76"/>
    <mergeCell ref="R76:V76"/>
    <mergeCell ref="W76:AA76"/>
    <mergeCell ref="AB76:AH76"/>
    <mergeCell ref="W78:AA78"/>
    <mergeCell ref="AB78:AH78"/>
    <mergeCell ref="W79:AA79"/>
    <mergeCell ref="AB79:AH79"/>
    <mergeCell ref="W80:AA80"/>
    <mergeCell ref="AB80:AH80"/>
    <mergeCell ref="A79:G79"/>
    <mergeCell ref="H79:L79"/>
    <mergeCell ref="M79:Q79"/>
    <mergeCell ref="R79:V79"/>
    <mergeCell ref="A78:G78"/>
    <mergeCell ref="H78:L78"/>
    <mergeCell ref="M78:Q78"/>
    <mergeCell ref="R78:V78"/>
    <mergeCell ref="M82:Q82"/>
    <mergeCell ref="R82:V82"/>
    <mergeCell ref="M83:Q83"/>
    <mergeCell ref="R83:V83"/>
    <mergeCell ref="V86:Y86"/>
    <mergeCell ref="W81:AA81"/>
    <mergeCell ref="AB81:AH81"/>
    <mergeCell ref="A80:G80"/>
    <mergeCell ref="H80:L80"/>
    <mergeCell ref="A81:G81"/>
    <mergeCell ref="H81:L81"/>
    <mergeCell ref="M81:Q81"/>
    <mergeCell ref="R81:V81"/>
    <mergeCell ref="M80:Q80"/>
    <mergeCell ref="R80:V80"/>
    <mergeCell ref="Z86:AC86"/>
    <mergeCell ref="AD86:AH86"/>
    <mergeCell ref="A87:C87"/>
    <mergeCell ref="D87:M87"/>
    <mergeCell ref="N87:Q87"/>
    <mergeCell ref="R87:U87"/>
    <mergeCell ref="V87:Y87"/>
    <mergeCell ref="Z87:AC87"/>
    <mergeCell ref="AD87:AH87"/>
    <mergeCell ref="A86:C86"/>
    <mergeCell ref="D86:M86"/>
    <mergeCell ref="N86:Q86"/>
    <mergeCell ref="R86:U86"/>
    <mergeCell ref="V88:Y88"/>
    <mergeCell ref="Z88:AC88"/>
    <mergeCell ref="N88:Q88"/>
    <mergeCell ref="R88:U88"/>
    <mergeCell ref="V90:Y90"/>
    <mergeCell ref="Z90:AC90"/>
    <mergeCell ref="AD88:AH88"/>
    <mergeCell ref="A89:C89"/>
    <mergeCell ref="D89:M89"/>
    <mergeCell ref="N89:Q89"/>
    <mergeCell ref="R89:U89"/>
    <mergeCell ref="V89:Y89"/>
    <mergeCell ref="Z89:AC89"/>
    <mergeCell ref="AD89:AH89"/>
    <mergeCell ref="A88:C88"/>
    <mergeCell ref="D88:M88"/>
    <mergeCell ref="AD90:AH90"/>
    <mergeCell ref="A91:C91"/>
    <mergeCell ref="D91:M91"/>
    <mergeCell ref="N91:Q91"/>
    <mergeCell ref="R91:U91"/>
    <mergeCell ref="V91:Y91"/>
    <mergeCell ref="Z91:AC91"/>
    <mergeCell ref="AD91:AH91"/>
    <mergeCell ref="A90:C90"/>
    <mergeCell ref="D90:M90"/>
    <mergeCell ref="N90:Q90"/>
    <mergeCell ref="R90:U90"/>
    <mergeCell ref="V92:Y92"/>
    <mergeCell ref="Z92:AC92"/>
    <mergeCell ref="N92:Q92"/>
    <mergeCell ref="R92:U92"/>
    <mergeCell ref="AD92:AH92"/>
    <mergeCell ref="A93:C93"/>
    <mergeCell ref="D93:M93"/>
    <mergeCell ref="N93:Q93"/>
    <mergeCell ref="R93:U93"/>
    <mergeCell ref="V93:Y93"/>
    <mergeCell ref="Z93:AC93"/>
    <mergeCell ref="AD93:AH93"/>
    <mergeCell ref="A92:C92"/>
    <mergeCell ref="D92:M92"/>
    <mergeCell ref="V94:Y94"/>
    <mergeCell ref="Z94:AC94"/>
    <mergeCell ref="AD94:AH94"/>
    <mergeCell ref="R95:U95"/>
    <mergeCell ref="V95:Y95"/>
    <mergeCell ref="Z95:AC95"/>
    <mergeCell ref="A94:C94"/>
    <mergeCell ref="D94:M94"/>
    <mergeCell ref="N94:Q94"/>
    <mergeCell ref="R94:U94"/>
    <mergeCell ref="R96:U96"/>
    <mergeCell ref="V96:Y96"/>
    <mergeCell ref="Z96:AC96"/>
    <mergeCell ref="A99:F99"/>
    <mergeCell ref="H99:J99"/>
    <mergeCell ref="K99:N99"/>
    <mergeCell ref="O99:R99"/>
    <mergeCell ref="S99:W99"/>
    <mergeCell ref="X99:AB99"/>
    <mergeCell ref="AC99:AH99"/>
    <mergeCell ref="AC100:AH100"/>
    <mergeCell ref="A101:F101"/>
    <mergeCell ref="H101:J101"/>
    <mergeCell ref="K101:N101"/>
    <mergeCell ref="O101:R101"/>
    <mergeCell ref="S101:W101"/>
    <mergeCell ref="X101:AB101"/>
    <mergeCell ref="AC101:AH101"/>
    <mergeCell ref="A100:F100"/>
    <mergeCell ref="A102:F102"/>
    <mergeCell ref="H102:J102"/>
    <mergeCell ref="K102:N102"/>
    <mergeCell ref="O102:R102"/>
    <mergeCell ref="S100:W100"/>
    <mergeCell ref="H100:J100"/>
    <mergeCell ref="K100:N100"/>
    <mergeCell ref="O100:R100"/>
    <mergeCell ref="X100:AB100"/>
    <mergeCell ref="Z110:AB110"/>
    <mergeCell ref="AC110:AH110"/>
    <mergeCell ref="A110:E110"/>
    <mergeCell ref="G110:M110"/>
    <mergeCell ref="N110:P110"/>
    <mergeCell ref="Q110:S110"/>
    <mergeCell ref="W110:Y110"/>
    <mergeCell ref="T110:V110"/>
    <mergeCell ref="W109:Y109"/>
    <mergeCell ref="Z109:AB109"/>
    <mergeCell ref="AC109:AH109"/>
    <mergeCell ref="A109:E109"/>
    <mergeCell ref="G109:M109"/>
    <mergeCell ref="N109:P109"/>
    <mergeCell ref="Q109:S109"/>
    <mergeCell ref="T109:V109"/>
    <mergeCell ref="Z112:AB112"/>
    <mergeCell ref="AC112:AH112"/>
    <mergeCell ref="A112:E112"/>
    <mergeCell ref="G112:M112"/>
    <mergeCell ref="N112:P112"/>
    <mergeCell ref="Q112:S112"/>
    <mergeCell ref="T112:V112"/>
    <mergeCell ref="W112:Y112"/>
    <mergeCell ref="Z111:AB111"/>
    <mergeCell ref="AC111:AH111"/>
    <mergeCell ref="A111:E111"/>
    <mergeCell ref="G111:M111"/>
    <mergeCell ref="N111:P111"/>
    <mergeCell ref="Q111:S111"/>
    <mergeCell ref="T111:V111"/>
    <mergeCell ref="W111:Y111"/>
    <mergeCell ref="T115:V115"/>
    <mergeCell ref="W115:Y115"/>
    <mergeCell ref="T113:V113"/>
    <mergeCell ref="W113:Y113"/>
    <mergeCell ref="W114:Y114"/>
    <mergeCell ref="T114:V114"/>
    <mergeCell ref="Z113:AB113"/>
    <mergeCell ref="AC113:AH113"/>
    <mergeCell ref="A113:E113"/>
    <mergeCell ref="G113:M113"/>
    <mergeCell ref="N113:P113"/>
    <mergeCell ref="Q113:S113"/>
    <mergeCell ref="B37:M37"/>
    <mergeCell ref="A108:E108"/>
    <mergeCell ref="G108:M108"/>
    <mergeCell ref="S102:W102"/>
    <mergeCell ref="W108:AH108"/>
    <mergeCell ref="O104:R104"/>
    <mergeCell ref="S104:W104"/>
    <mergeCell ref="X104:AB104"/>
    <mergeCell ref="O105:R105"/>
    <mergeCell ref="N108:P108"/>
    <mergeCell ref="Q108:S108"/>
    <mergeCell ref="T108:V108"/>
    <mergeCell ref="A40:AH40"/>
    <mergeCell ref="S105:W105"/>
    <mergeCell ref="X105:AB105"/>
    <mergeCell ref="X102:AB102"/>
    <mergeCell ref="AC102:AH102"/>
    <mergeCell ref="S103:W103"/>
    <mergeCell ref="X103:AB103"/>
    <mergeCell ref="AC103:AH103"/>
    <mergeCell ref="A103:F103"/>
    <mergeCell ref="H103:J103"/>
    <mergeCell ref="K103:N103"/>
    <mergeCell ref="O103:R103"/>
  </mergeCells>
  <phoneticPr fontId="2" type="noConversion"/>
  <pageMargins left="0.28999999999999998" right="0.19" top="0.43" bottom="0.38" header="0.23" footer="0.18"/>
  <pageSetup orientation="portrait" r:id="rId1"/>
  <headerFooter alignWithMargins="0">
    <oddFooter>&amp;L&amp;"Arial,Bold"&amp;8FM Bank&amp;C&amp;8Personal Financial Statement&amp;R&amp;8Page &amp;P of &amp;N</oddFooter>
  </headerFooter>
  <rowBreaks count="3" manualBreakCount="3">
    <brk id="60" max="16383" man="1"/>
    <brk id="116" max="16383" man="1"/>
    <brk id="178" max="16383" man="1"/>
  </rowBreaks>
  <drawing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2"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2"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wsb</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Scott Tomsu</cp:lastModifiedBy>
  <cp:lastPrinted>2016-03-01T14:07:37Z</cp:lastPrinted>
  <dcterms:created xsi:type="dcterms:W3CDTF">2006-01-25T20:59:28Z</dcterms:created>
  <dcterms:modified xsi:type="dcterms:W3CDTF">2016-07-18T18:23:37Z</dcterms:modified>
</cp:coreProperties>
</file>