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4355" windowHeight="7755"/>
  </bookViews>
  <sheets>
    <sheet name="eBay Final $$" sheetId="2" r:id="rId1"/>
    <sheet name="Sheet1" sheetId="1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L15" i="2"/>
  <c r="K15"/>
  <c r="L13"/>
  <c r="L12"/>
  <c r="L11"/>
  <c r="L10"/>
  <c r="L9"/>
  <c r="L8"/>
  <c r="L7"/>
  <c r="L6"/>
  <c r="L5"/>
  <c r="K13"/>
  <c r="K12"/>
  <c r="K11"/>
  <c r="K10"/>
  <c r="K9"/>
  <c r="K8"/>
  <c r="K7"/>
  <c r="K6"/>
  <c r="K5"/>
  <c r="L4"/>
  <c r="K4"/>
  <c r="J13"/>
  <c r="J12"/>
  <c r="J11"/>
  <c r="J10"/>
  <c r="J9"/>
  <c r="J8"/>
  <c r="J7"/>
  <c r="J6"/>
  <c r="J5"/>
  <c r="J4"/>
  <c r="H15"/>
  <c r="I15"/>
  <c r="G15"/>
  <c r="F15"/>
  <c r="J15" s="1"/>
</calcChain>
</file>

<file path=xl/sharedStrings.xml><?xml version="1.0" encoding="utf-8"?>
<sst xmlns="http://schemas.openxmlformats.org/spreadsheetml/2006/main" count="30" uniqueCount="26">
  <si>
    <t>121750265404 Kuryakyn Motorcycle Mini Pilot Pegs W/O Male Ends Part#4444 NR</t>
  </si>
  <si>
    <t>121750208697 Drag Specialties Rub Inlay Rail Footpeg NR</t>
  </si>
  <si>
    <t>121750147978 Aeromach Manufacturing Knuckle Lever Set P/N: AM-9480P</t>
  </si>
  <si>
    <t>121750113196 Kuryakyn (1036) Boss Blades Hyd. Clutch &amp; Brake Levers for Harley Davidson NR</t>
  </si>
  <si>
    <t>121750077855 Kuryakyn Wild Things Fuel Injection Controller NR</t>
  </si>
  <si>
    <t>121750020205 Kuryakyn Electromagnetic Cruise Assist for '96 - '11 Harley Davidson (6280)</t>
  </si>
  <si>
    <t>121749927623 Andrews 37G Gear Drive Cams for Harley Davidson '99-'06 Twin Cam 88 (288137G) NR</t>
  </si>
  <si>
    <t>121749906428 Kuryakyn (1036) Boss Blades Hyd. Clutch &amp; Brake Levers for Harley Davidson NR</t>
  </si>
  <si>
    <t>Total Price</t>
  </si>
  <si>
    <t>eBay Fees</t>
  </si>
  <si>
    <t>121749948042 Kuryakyn Chrome Levers with Iron Braid</t>
  </si>
  <si>
    <t>ID #</t>
  </si>
  <si>
    <t>Pic</t>
  </si>
  <si>
    <t>Description</t>
  </si>
  <si>
    <t>Shipped Date</t>
  </si>
  <si>
    <t>Sale Price</t>
  </si>
  <si>
    <t>Shipping Fees</t>
  </si>
  <si>
    <t>121749960871 Kuryakyn Electromagnetic Cruise Assit</t>
  </si>
  <si>
    <t>eBay Items Sold &amp; Shipped</t>
  </si>
  <si>
    <t>$$$</t>
  </si>
  <si>
    <t>Funds Avail.</t>
  </si>
  <si>
    <t>60% Split - Chris</t>
  </si>
  <si>
    <t>40% Split - Adapt</t>
  </si>
  <si>
    <t>.$$$</t>
  </si>
  <si>
    <t>PayPal Fees</t>
  </si>
  <si>
    <t>Yearly eBay Store Subscription Fee</t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</si>
</sst>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164" formatCode="[$-409]d\-mmm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parajita"/>
      <family val="2"/>
    </font>
    <font>
      <sz val="14"/>
      <color theme="1"/>
      <name val="Arial Narrow"/>
      <family val="2"/>
    </font>
    <font>
      <sz val="10"/>
      <color theme="1"/>
      <name val="Aparajita"/>
      <family val="2"/>
    </font>
    <font>
      <u/>
      <sz val="18"/>
      <color theme="1"/>
      <name val="Aparajita"/>
      <family val="2"/>
    </font>
    <font>
      <sz val="12"/>
      <color theme="1"/>
      <name val="Aparajita"/>
      <family val="2"/>
    </font>
    <font>
      <sz val="11"/>
      <color rgb="FF333333"/>
      <name val="Aparajita"/>
      <family val="2"/>
    </font>
    <font>
      <b/>
      <sz val="12"/>
      <color theme="1"/>
      <name val="Aparajita"/>
      <family val="2"/>
    </font>
    <font>
      <b/>
      <sz val="10"/>
      <color theme="1"/>
      <name val="Aparajita"/>
      <family val="2"/>
    </font>
    <font>
      <b/>
      <sz val="11"/>
      <color theme="1"/>
      <name val="Aparajita"/>
      <family val="2"/>
    </font>
    <font>
      <b/>
      <sz val="13"/>
      <color theme="1"/>
      <name val="Aparajita"/>
      <family val="2"/>
    </font>
    <font>
      <b/>
      <sz val="13"/>
      <color rgb="FFFF0000"/>
      <name val="Aparajita"/>
      <family val="2"/>
    </font>
    <font>
      <b/>
      <sz val="13"/>
      <color rgb="FF1B0CE4"/>
      <name val="Aparajita"/>
      <family val="2"/>
    </font>
    <font>
      <b/>
      <sz val="11"/>
      <color rgb="FFFF0000"/>
      <name val="Aparajita"/>
      <family val="2"/>
    </font>
    <font>
      <b/>
      <sz val="11"/>
      <color rgb="FF1B0CE4"/>
      <name val="Aparajita"/>
      <family val="2"/>
    </font>
    <font>
      <b/>
      <sz val="11"/>
      <color rgb="FF333333"/>
      <name val="Aparajit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6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44" fontId="3" fillId="0" borderId="0" xfId="1" applyFont="1"/>
    <xf numFmtId="164" fontId="3" fillId="0" borderId="0" xfId="0" applyNumberFormat="1" applyFont="1"/>
    <xf numFmtId="0" fontId="6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4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3" xfId="0" applyFont="1" applyBorder="1"/>
    <xf numFmtId="0" fontId="6" fillId="0" borderId="0" xfId="0" applyFont="1" applyBorder="1" applyAlignment="1">
      <alignment horizontal="center" vertical="center"/>
    </xf>
    <xf numFmtId="0" fontId="6" fillId="0" borderId="0" xfId="0" applyFont="1" applyBorder="1"/>
    <xf numFmtId="0" fontId="7" fillId="0" borderId="0" xfId="0" applyFont="1" applyBorder="1" applyAlignment="1">
      <alignment vertical="top" wrapText="1"/>
    </xf>
    <xf numFmtId="16" fontId="6" fillId="0" borderId="0" xfId="0" applyNumberFormat="1" applyFont="1" applyBorder="1" applyAlignment="1">
      <alignment horizontal="center" vertical="center"/>
    </xf>
    <xf numFmtId="44" fontId="8" fillId="0" borderId="0" xfId="1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top" wrapText="1"/>
    </xf>
    <xf numFmtId="16" fontId="4" fillId="0" borderId="2" xfId="0" applyNumberFormat="1" applyFont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8" fillId="0" borderId="0" xfId="0" applyFont="1"/>
    <xf numFmtId="44" fontId="8" fillId="0" borderId="0" xfId="1" applyFont="1" applyBorder="1"/>
    <xf numFmtId="44" fontId="12" fillId="0" borderId="2" xfId="1" applyFont="1" applyBorder="1" applyAlignment="1">
      <alignment vertical="center"/>
    </xf>
    <xf numFmtId="44" fontId="13" fillId="0" borderId="2" xfId="1" applyFont="1" applyBorder="1" applyAlignment="1">
      <alignment vertical="center"/>
    </xf>
    <xf numFmtId="44" fontId="8" fillId="0" borderId="0" xfId="1" applyFont="1"/>
    <xf numFmtId="0" fontId="8" fillId="0" borderId="0" xfId="0" applyFont="1" applyAlignment="1"/>
    <xf numFmtId="0" fontId="9" fillId="0" borderId="7" xfId="0" applyFont="1" applyBorder="1" applyAlignment="1">
      <alignment horizontal="center" wrapText="1"/>
    </xf>
    <xf numFmtId="44" fontId="14" fillId="0" borderId="7" xfId="1" applyFont="1" applyBorder="1" applyAlignment="1">
      <alignment horizontal="center" wrapText="1"/>
    </xf>
    <xf numFmtId="44" fontId="15" fillId="0" borderId="8" xfId="1" applyFont="1" applyBorder="1" applyAlignment="1">
      <alignment horizontal="center" wrapText="1"/>
    </xf>
    <xf numFmtId="0" fontId="10" fillId="2" borderId="7" xfId="0" applyFont="1" applyFill="1" applyBorder="1" applyAlignment="1">
      <alignment horizontal="center" wrapText="1"/>
    </xf>
    <xf numFmtId="0" fontId="10" fillId="2" borderId="7" xfId="0" applyFont="1" applyFill="1" applyBorder="1" applyAlignment="1">
      <alignment horizontal="center"/>
    </xf>
    <xf numFmtId="44" fontId="11" fillId="2" borderId="1" xfId="1" applyFont="1" applyFill="1" applyBorder="1" applyAlignment="1">
      <alignment vertical="center"/>
    </xf>
    <xf numFmtId="44" fontId="11" fillId="2" borderId="7" xfId="1" applyFont="1" applyFill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4" fontId="11" fillId="2" borderId="9" xfId="1" applyFont="1" applyFill="1" applyBorder="1" applyAlignment="1">
      <alignment vertical="center"/>
    </xf>
    <xf numFmtId="44" fontId="12" fillId="0" borderId="9" xfId="1" applyFont="1" applyBorder="1" applyAlignment="1">
      <alignment vertical="center"/>
    </xf>
    <xf numFmtId="44" fontId="13" fillId="0" borderId="9" xfId="1" applyFont="1" applyBorder="1" applyAlignment="1">
      <alignment vertical="center"/>
    </xf>
    <xf numFmtId="44" fontId="12" fillId="0" borderId="7" xfId="1" applyFont="1" applyBorder="1" applyAlignment="1">
      <alignment vertical="center"/>
    </xf>
    <xf numFmtId="44" fontId="13" fillId="0" borderId="8" xfId="1" applyFont="1" applyBorder="1" applyAlignment="1">
      <alignment vertical="center"/>
    </xf>
    <xf numFmtId="0" fontId="6" fillId="0" borderId="1" xfId="0" applyFont="1" applyBorder="1"/>
    <xf numFmtId="0" fontId="16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/>
    <xf numFmtId="0" fontId="7" fillId="3" borderId="1" xfId="0" applyFont="1" applyFill="1" applyBorder="1" applyAlignment="1">
      <alignment vertical="top" wrapText="1"/>
    </xf>
    <xf numFmtId="0" fontId="10" fillId="4" borderId="7" xfId="0" applyFont="1" applyFill="1" applyBorder="1" applyAlignment="1">
      <alignment horizontal="center"/>
    </xf>
    <xf numFmtId="0" fontId="10" fillId="5" borderId="7" xfId="0" applyFont="1" applyFill="1" applyBorder="1" applyAlignment="1">
      <alignment horizontal="center"/>
    </xf>
    <xf numFmtId="16" fontId="6" fillId="3" borderId="3" xfId="0" applyNumberFormat="1" applyFont="1" applyFill="1" applyBorder="1" applyAlignment="1">
      <alignment horizontal="center" vertical="center"/>
    </xf>
    <xf numFmtId="44" fontId="8" fillId="5" borderId="10" xfId="1" applyFont="1" applyFill="1" applyBorder="1" applyAlignment="1">
      <alignment vertical="center"/>
    </xf>
    <xf numFmtId="44" fontId="11" fillId="4" borderId="4" xfId="1" applyFont="1" applyFill="1" applyBorder="1" applyAlignment="1">
      <alignment vertical="center"/>
    </xf>
    <xf numFmtId="44" fontId="11" fillId="4" borderId="3" xfId="1" applyFont="1" applyFill="1" applyBorder="1" applyAlignment="1">
      <alignment vertical="center"/>
    </xf>
    <xf numFmtId="44" fontId="11" fillId="4" borderId="11" xfId="1" applyFont="1" applyFill="1" applyBorder="1" applyAlignment="1">
      <alignment vertical="center"/>
    </xf>
    <xf numFmtId="44" fontId="11" fillId="4" borderId="12" xfId="1" applyFont="1" applyFill="1" applyBorder="1" applyAlignment="1">
      <alignment vertical="center"/>
    </xf>
    <xf numFmtId="44" fontId="11" fillId="5" borderId="13" xfId="1" applyFont="1" applyFill="1" applyBorder="1" applyAlignment="1">
      <alignment vertical="center"/>
    </xf>
    <xf numFmtId="44" fontId="11" fillId="5" borderId="14" xfId="1" applyFont="1" applyFill="1" applyBorder="1" applyAlignment="1">
      <alignment vertical="center"/>
    </xf>
    <xf numFmtId="44" fontId="11" fillId="2" borderId="15" xfId="1" applyFont="1" applyFill="1" applyBorder="1" applyAlignment="1">
      <alignment vertical="center"/>
    </xf>
    <xf numFmtId="44" fontId="11" fillId="2" borderId="16" xfId="1" applyFont="1" applyFill="1" applyBorder="1" applyAlignment="1">
      <alignment vertical="center"/>
    </xf>
    <xf numFmtId="44" fontId="11" fillId="2" borderId="17" xfId="1" applyFont="1" applyFill="1" applyBorder="1" applyAlignment="1">
      <alignment vertical="center"/>
    </xf>
    <xf numFmtId="44" fontId="11" fillId="2" borderId="18" xfId="1" applyFont="1" applyFill="1" applyBorder="1" applyAlignment="1">
      <alignment vertical="center"/>
    </xf>
    <xf numFmtId="44" fontId="11" fillId="2" borderId="19" xfId="1" applyFont="1" applyFill="1" applyBorder="1" applyAlignment="1">
      <alignment vertical="center"/>
    </xf>
    <xf numFmtId="44" fontId="11" fillId="2" borderId="20" xfId="1" applyFont="1" applyFill="1" applyBorder="1" applyAlignment="1">
      <alignment vertical="center"/>
    </xf>
    <xf numFmtId="44" fontId="11" fillId="2" borderId="21" xfId="1" applyFont="1" applyFill="1" applyBorder="1" applyAlignment="1">
      <alignment vertical="center"/>
    </xf>
    <xf numFmtId="44" fontId="11" fillId="2" borderId="6" xfId="1" applyFont="1" applyFill="1" applyBorder="1" applyAlignment="1">
      <alignment vertical="center"/>
    </xf>
    <xf numFmtId="44" fontId="11" fillId="2" borderId="8" xfId="1" applyFont="1" applyFill="1" applyBorder="1" applyAlignment="1">
      <alignment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colors>
    <mruColors>
      <color rgb="FFFFFF99"/>
      <color rgb="FF1B0CE4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3</xdr:row>
      <xdr:rowOff>76200</xdr:rowOff>
    </xdr:from>
    <xdr:to>
      <xdr:col>2</xdr:col>
      <xdr:colOff>555318</xdr:colOff>
      <xdr:row>3</xdr:row>
      <xdr:rowOff>400050</xdr:rowOff>
    </xdr:to>
    <xdr:pic>
      <xdr:nvPicPr>
        <xdr:cNvPr id="2" name="Picture 1" descr="41+KaNvYLgL._SX425_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52450" y="952500"/>
          <a:ext cx="488643" cy="32385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4</xdr:row>
      <xdr:rowOff>38100</xdr:rowOff>
    </xdr:from>
    <xdr:to>
      <xdr:col>2</xdr:col>
      <xdr:colOff>571500</xdr:colOff>
      <xdr:row>4</xdr:row>
      <xdr:rowOff>419100</xdr:rowOff>
    </xdr:to>
    <xdr:pic>
      <xdr:nvPicPr>
        <xdr:cNvPr id="5" name="Picture 6" descr="Item pictur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9275" y="1371600"/>
          <a:ext cx="508000" cy="38100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104775</xdr:colOff>
      <xdr:row>5</xdr:row>
      <xdr:rowOff>76201</xdr:rowOff>
    </xdr:from>
    <xdr:to>
      <xdr:col>2</xdr:col>
      <xdr:colOff>504826</xdr:colOff>
      <xdr:row>5</xdr:row>
      <xdr:rowOff>419101</xdr:rowOff>
    </xdr:to>
    <xdr:pic>
      <xdr:nvPicPr>
        <xdr:cNvPr id="6" name="Picture 1" descr="Item picture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90550" y="1866901"/>
          <a:ext cx="400051" cy="34290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114300</xdr:colOff>
      <xdr:row>6</xdr:row>
      <xdr:rowOff>57150</xdr:rowOff>
    </xdr:from>
    <xdr:to>
      <xdr:col>2</xdr:col>
      <xdr:colOff>523875</xdr:colOff>
      <xdr:row>6</xdr:row>
      <xdr:rowOff>381000</xdr:rowOff>
    </xdr:to>
    <xdr:pic>
      <xdr:nvPicPr>
        <xdr:cNvPr id="7" name="Picture 2" descr="Item picture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00075" y="2305050"/>
          <a:ext cx="409575" cy="32385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114300</xdr:colOff>
      <xdr:row>7</xdr:row>
      <xdr:rowOff>57149</xdr:rowOff>
    </xdr:from>
    <xdr:to>
      <xdr:col>2</xdr:col>
      <xdr:colOff>571500</xdr:colOff>
      <xdr:row>7</xdr:row>
      <xdr:rowOff>390524</xdr:rowOff>
    </xdr:to>
    <xdr:pic>
      <xdr:nvPicPr>
        <xdr:cNvPr id="8" name="Picture 4" descr="Item picture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00075" y="2762249"/>
          <a:ext cx="457200" cy="3333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123826</xdr:colOff>
      <xdr:row>8</xdr:row>
      <xdr:rowOff>104775</xdr:rowOff>
    </xdr:from>
    <xdr:to>
      <xdr:col>2</xdr:col>
      <xdr:colOff>523876</xdr:colOff>
      <xdr:row>8</xdr:row>
      <xdr:rowOff>400050</xdr:rowOff>
    </xdr:to>
    <xdr:pic>
      <xdr:nvPicPr>
        <xdr:cNvPr id="9" name="Picture 3" descr="Item picture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09601" y="3267075"/>
          <a:ext cx="400050" cy="2952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66675</xdr:colOff>
      <xdr:row>12</xdr:row>
      <xdr:rowOff>57150</xdr:rowOff>
    </xdr:from>
    <xdr:to>
      <xdr:col>2</xdr:col>
      <xdr:colOff>523875</xdr:colOff>
      <xdr:row>12</xdr:row>
      <xdr:rowOff>419100</xdr:rowOff>
    </xdr:to>
    <xdr:pic>
      <xdr:nvPicPr>
        <xdr:cNvPr id="10" name="Picture 5" descr="Item picture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552450" y="5048250"/>
          <a:ext cx="457200" cy="36195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123824</xdr:colOff>
      <xdr:row>9</xdr:row>
      <xdr:rowOff>57150</xdr:rowOff>
    </xdr:from>
    <xdr:to>
      <xdr:col>2</xdr:col>
      <xdr:colOff>514350</xdr:colOff>
      <xdr:row>9</xdr:row>
      <xdr:rowOff>377825</xdr:rowOff>
    </xdr:to>
    <xdr:pic>
      <xdr:nvPicPr>
        <xdr:cNvPr id="11" name="Picture 8" descr="Item picture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09599" y="3676650"/>
          <a:ext cx="390526" cy="3206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95250</xdr:colOff>
      <xdr:row>11</xdr:row>
      <xdr:rowOff>28575</xdr:rowOff>
    </xdr:from>
    <xdr:to>
      <xdr:col>2</xdr:col>
      <xdr:colOff>609600</xdr:colOff>
      <xdr:row>11</xdr:row>
      <xdr:rowOff>419100</xdr:rowOff>
    </xdr:to>
    <xdr:pic>
      <xdr:nvPicPr>
        <xdr:cNvPr id="12" name="Picture 7" descr="Item picture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581025" y="4562475"/>
          <a:ext cx="514350" cy="390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66675</xdr:colOff>
      <xdr:row>10</xdr:row>
      <xdr:rowOff>66675</xdr:rowOff>
    </xdr:from>
    <xdr:to>
      <xdr:col>2</xdr:col>
      <xdr:colOff>574675</xdr:colOff>
      <xdr:row>10</xdr:row>
      <xdr:rowOff>390525</xdr:rowOff>
    </xdr:to>
    <xdr:pic>
      <xdr:nvPicPr>
        <xdr:cNvPr id="13" name="Picture 6" descr="Item pictur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52450" y="4143375"/>
          <a:ext cx="508000" cy="32385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</xdr:row>
      <xdr:rowOff>0</xdr:rowOff>
    </xdr:from>
    <xdr:to>
      <xdr:col>1</xdr:col>
      <xdr:colOff>123825</xdr:colOff>
      <xdr:row>31</xdr:row>
      <xdr:rowOff>457200</xdr:rowOff>
    </xdr:to>
    <xdr:pic>
      <xdr:nvPicPr>
        <xdr:cNvPr id="1033" name="Picture 9" descr="Item pictur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67050" y="22212300"/>
          <a:ext cx="609600" cy="4572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1</xdr:col>
      <xdr:colOff>123825</xdr:colOff>
      <xdr:row>35</xdr:row>
      <xdr:rowOff>457200</xdr:rowOff>
    </xdr:to>
    <xdr:pic>
      <xdr:nvPicPr>
        <xdr:cNvPr id="1034" name="Picture 10" descr="Item pictur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067050" y="24965025"/>
          <a:ext cx="609600" cy="4572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3"/>
  <sheetViews>
    <sheetView tabSelected="1" workbookViewId="0">
      <selection activeCell="H11" sqref="H11"/>
    </sheetView>
  </sheetViews>
  <sheetFormatPr defaultRowHeight="18"/>
  <cols>
    <col min="1" max="1" width="5.42578125" style="42" customWidth="1"/>
    <col min="2" max="2" width="6.7109375" style="8" customWidth="1"/>
    <col min="3" max="3" width="9.7109375" style="7" customWidth="1"/>
    <col min="4" max="4" width="37.42578125" style="1" customWidth="1"/>
    <col min="5" max="5" width="6.7109375" style="9" customWidth="1"/>
    <col min="6" max="9" width="9.140625" style="27"/>
    <col min="10" max="10" width="9.5703125" style="27" bestFit="1" customWidth="1"/>
    <col min="11" max="12" width="10.140625" style="31" customWidth="1"/>
    <col min="13" max="16384" width="9.140625" style="7"/>
  </cols>
  <sheetData>
    <row r="1" spans="1:22" ht="29.25" customHeight="1">
      <c r="A1" s="45" t="s">
        <v>18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14"/>
      <c r="N1" s="14"/>
      <c r="O1" s="14"/>
      <c r="P1" s="14"/>
      <c r="Q1" s="14"/>
      <c r="R1" s="14"/>
      <c r="S1" s="14"/>
      <c r="T1" s="14"/>
      <c r="U1" s="14"/>
      <c r="V1" s="14"/>
    </row>
    <row r="2" spans="1:22" ht="10.5" customHeight="1" thickBot="1">
      <c r="K2" s="28"/>
      <c r="L2" s="28"/>
      <c r="M2" s="14"/>
      <c r="N2" s="14"/>
      <c r="O2" s="14"/>
      <c r="P2" s="14"/>
      <c r="Q2" s="14"/>
      <c r="R2" s="14"/>
      <c r="S2" s="14"/>
      <c r="T2" s="14"/>
      <c r="U2" s="14"/>
      <c r="V2" s="14"/>
    </row>
    <row r="3" spans="1:22" s="26" customFormat="1" ht="33.75" customHeight="1" thickBot="1">
      <c r="A3" s="43" t="s">
        <v>20</v>
      </c>
      <c r="B3" s="25" t="s">
        <v>11</v>
      </c>
      <c r="C3" s="24" t="s">
        <v>12</v>
      </c>
      <c r="D3" s="25" t="s">
        <v>13</v>
      </c>
      <c r="E3" s="33" t="s">
        <v>14</v>
      </c>
      <c r="F3" s="57" t="s">
        <v>15</v>
      </c>
      <c r="G3" s="36" t="s">
        <v>16</v>
      </c>
      <c r="H3" s="37" t="s">
        <v>9</v>
      </c>
      <c r="I3" s="36" t="s">
        <v>24</v>
      </c>
      <c r="J3" s="58" t="s">
        <v>8</v>
      </c>
      <c r="K3" s="34" t="s">
        <v>21</v>
      </c>
      <c r="L3" s="35" t="s">
        <v>22</v>
      </c>
    </row>
    <row r="4" spans="1:22" s="11" customFormat="1" ht="36" customHeight="1">
      <c r="A4" s="22">
        <v>42268</v>
      </c>
      <c r="B4" s="40">
        <v>116</v>
      </c>
      <c r="C4" s="10"/>
      <c r="D4" s="18" t="s">
        <v>10</v>
      </c>
      <c r="E4" s="22">
        <v>42258</v>
      </c>
      <c r="F4" s="61">
        <v>20</v>
      </c>
      <c r="G4" s="67">
        <v>5.7</v>
      </c>
      <c r="H4" s="68">
        <v>1.95</v>
      </c>
      <c r="I4" s="69">
        <v>0.88</v>
      </c>
      <c r="J4" s="65">
        <f>SUM(F4-G4-H4-I4)</f>
        <v>11.47</v>
      </c>
      <c r="K4" s="29">
        <f>SUM(J4*60%)</f>
        <v>6.8820000000000006</v>
      </c>
      <c r="L4" s="30">
        <f>SUM(J4*40%)</f>
        <v>4.5880000000000001</v>
      </c>
    </row>
    <row r="5" spans="1:22" ht="36" customHeight="1">
      <c r="A5" s="23">
        <v>42266</v>
      </c>
      <c r="B5" s="41">
        <v>117</v>
      </c>
      <c r="C5" s="12"/>
      <c r="D5" s="19" t="s">
        <v>17</v>
      </c>
      <c r="E5" s="23">
        <v>42258</v>
      </c>
      <c r="F5" s="62">
        <v>71</v>
      </c>
      <c r="G5" s="70">
        <v>14.42</v>
      </c>
      <c r="H5" s="38">
        <v>6.03</v>
      </c>
      <c r="I5" s="71">
        <v>2.36</v>
      </c>
      <c r="J5" s="65">
        <f t="shared" ref="J5:J13" si="0">SUM(F5-G5-H5-I5)</f>
        <v>48.19</v>
      </c>
      <c r="K5" s="29">
        <f t="shared" ref="K5:K15" si="1">SUM(J5*60%)</f>
        <v>28.913999999999998</v>
      </c>
      <c r="L5" s="30">
        <f t="shared" ref="L5:L15" si="2">SUM(J5*40%)</f>
        <v>19.276</v>
      </c>
    </row>
    <row r="6" spans="1:22" ht="36" customHeight="1">
      <c r="A6" s="23">
        <v>42268</v>
      </c>
      <c r="B6" s="41">
        <v>119</v>
      </c>
      <c r="C6" s="12"/>
      <c r="D6" s="20" t="s">
        <v>0</v>
      </c>
      <c r="E6" s="22">
        <v>42258</v>
      </c>
      <c r="F6" s="62">
        <v>15</v>
      </c>
      <c r="G6" s="70">
        <v>5.7</v>
      </c>
      <c r="H6" s="38">
        <v>1.55</v>
      </c>
      <c r="I6" s="71">
        <v>0.89</v>
      </c>
      <c r="J6" s="65">
        <f t="shared" si="0"/>
        <v>6.8600000000000012</v>
      </c>
      <c r="K6" s="29">
        <f t="shared" si="1"/>
        <v>4.1160000000000005</v>
      </c>
      <c r="L6" s="30">
        <f t="shared" si="2"/>
        <v>2.7440000000000007</v>
      </c>
    </row>
    <row r="7" spans="1:22" ht="36" customHeight="1">
      <c r="A7" s="44" t="s">
        <v>19</v>
      </c>
      <c r="B7" s="41">
        <v>120</v>
      </c>
      <c r="C7" s="12"/>
      <c r="D7" s="21" t="s">
        <v>1</v>
      </c>
      <c r="E7" s="23">
        <v>42258</v>
      </c>
      <c r="F7" s="62">
        <v>15</v>
      </c>
      <c r="G7" s="70">
        <v>5.7</v>
      </c>
      <c r="H7" s="38">
        <v>1.55</v>
      </c>
      <c r="I7" s="71">
        <v>0.74</v>
      </c>
      <c r="J7" s="65">
        <f t="shared" si="0"/>
        <v>7.0100000000000007</v>
      </c>
      <c r="K7" s="29">
        <f t="shared" si="1"/>
        <v>4.2060000000000004</v>
      </c>
      <c r="L7" s="30">
        <f t="shared" si="2"/>
        <v>2.8040000000000003</v>
      </c>
    </row>
    <row r="8" spans="1:22" ht="36" customHeight="1">
      <c r="A8" s="44" t="s">
        <v>19</v>
      </c>
      <c r="B8" s="41">
        <v>121</v>
      </c>
      <c r="C8" s="12"/>
      <c r="D8" s="21" t="s">
        <v>3</v>
      </c>
      <c r="E8" s="22">
        <v>42258</v>
      </c>
      <c r="F8" s="62">
        <v>20</v>
      </c>
      <c r="G8" s="70">
        <v>5.7</v>
      </c>
      <c r="H8" s="38">
        <v>1.95</v>
      </c>
      <c r="I8" s="71">
        <v>0.88</v>
      </c>
      <c r="J8" s="65">
        <f t="shared" si="0"/>
        <v>11.47</v>
      </c>
      <c r="K8" s="29">
        <f t="shared" si="1"/>
        <v>6.8820000000000006</v>
      </c>
      <c r="L8" s="30">
        <f t="shared" si="2"/>
        <v>4.5880000000000001</v>
      </c>
    </row>
    <row r="9" spans="1:22" ht="36" customHeight="1">
      <c r="A9" s="44" t="s">
        <v>19</v>
      </c>
      <c r="B9" s="41">
        <v>122</v>
      </c>
      <c r="C9" s="12"/>
      <c r="D9" s="21" t="s">
        <v>2</v>
      </c>
      <c r="E9" s="23">
        <v>42258</v>
      </c>
      <c r="F9" s="62">
        <v>20</v>
      </c>
      <c r="G9" s="70">
        <v>5.7</v>
      </c>
      <c r="H9" s="38">
        <v>1.95</v>
      </c>
      <c r="I9" s="71">
        <v>0.88</v>
      </c>
      <c r="J9" s="65">
        <f t="shared" si="0"/>
        <v>11.47</v>
      </c>
      <c r="K9" s="29">
        <f t="shared" si="1"/>
        <v>6.8820000000000006</v>
      </c>
      <c r="L9" s="30">
        <f t="shared" si="2"/>
        <v>4.5880000000000001</v>
      </c>
    </row>
    <row r="10" spans="1:22" ht="36" customHeight="1">
      <c r="A10" s="44" t="s">
        <v>19</v>
      </c>
      <c r="B10" s="41">
        <v>124</v>
      </c>
      <c r="C10" s="12"/>
      <c r="D10" s="21" t="s">
        <v>7</v>
      </c>
      <c r="E10" s="22">
        <v>42258</v>
      </c>
      <c r="F10" s="62">
        <v>30</v>
      </c>
      <c r="G10" s="70">
        <v>5.7</v>
      </c>
      <c r="H10" s="38">
        <v>2.75</v>
      </c>
      <c r="I10" s="71">
        <v>1.17</v>
      </c>
      <c r="J10" s="65">
        <f t="shared" si="0"/>
        <v>20.380000000000003</v>
      </c>
      <c r="K10" s="29">
        <f t="shared" si="1"/>
        <v>12.228000000000002</v>
      </c>
      <c r="L10" s="30">
        <f t="shared" si="2"/>
        <v>8.152000000000001</v>
      </c>
    </row>
    <row r="11" spans="1:22" ht="36" customHeight="1">
      <c r="A11" s="23">
        <v>42266</v>
      </c>
      <c r="B11" s="41">
        <v>125</v>
      </c>
      <c r="C11" s="12"/>
      <c r="D11" s="21" t="s">
        <v>5</v>
      </c>
      <c r="E11" s="23">
        <v>42258</v>
      </c>
      <c r="F11" s="62">
        <v>62.99</v>
      </c>
      <c r="G11" s="70">
        <v>14.42</v>
      </c>
      <c r="H11" s="38">
        <v>5.39</v>
      </c>
      <c r="I11" s="71">
        <v>2.13</v>
      </c>
      <c r="J11" s="65">
        <f t="shared" si="0"/>
        <v>41.05</v>
      </c>
      <c r="K11" s="29">
        <f t="shared" si="1"/>
        <v>24.63</v>
      </c>
      <c r="L11" s="30">
        <f t="shared" si="2"/>
        <v>16.419999999999998</v>
      </c>
    </row>
    <row r="12" spans="1:22" ht="36" customHeight="1">
      <c r="A12" s="44" t="s">
        <v>23</v>
      </c>
      <c r="B12" s="41">
        <v>126</v>
      </c>
      <c r="C12" s="12"/>
      <c r="D12" s="21" t="s">
        <v>6</v>
      </c>
      <c r="E12" s="22">
        <v>42258</v>
      </c>
      <c r="F12" s="62">
        <v>191</v>
      </c>
      <c r="G12" s="70">
        <v>8.1</v>
      </c>
      <c r="H12" s="38">
        <v>15.63</v>
      </c>
      <c r="I12" s="71">
        <v>0.88</v>
      </c>
      <c r="J12" s="65">
        <f t="shared" si="0"/>
        <v>166.39000000000001</v>
      </c>
      <c r="K12" s="29">
        <f t="shared" si="1"/>
        <v>99.834000000000003</v>
      </c>
      <c r="L12" s="30">
        <f t="shared" si="2"/>
        <v>66.556000000000012</v>
      </c>
    </row>
    <row r="13" spans="1:22" ht="36" customHeight="1">
      <c r="A13" s="44" t="s">
        <v>19</v>
      </c>
      <c r="B13" s="41">
        <v>127</v>
      </c>
      <c r="C13" s="12"/>
      <c r="D13" s="21" t="s">
        <v>4</v>
      </c>
      <c r="E13" s="23">
        <v>42258</v>
      </c>
      <c r="F13" s="63">
        <v>30</v>
      </c>
      <c r="G13" s="72">
        <v>5.25</v>
      </c>
      <c r="H13" s="46">
        <v>2.75</v>
      </c>
      <c r="I13" s="73">
        <v>1.17</v>
      </c>
      <c r="J13" s="65">
        <f t="shared" si="0"/>
        <v>20.83</v>
      </c>
      <c r="K13" s="29">
        <f t="shared" si="1"/>
        <v>12.497999999999999</v>
      </c>
      <c r="L13" s="30">
        <f t="shared" si="2"/>
        <v>8.331999999999999</v>
      </c>
    </row>
    <row r="14" spans="1:22" ht="36" customHeight="1" thickBot="1">
      <c r="A14" s="44"/>
      <c r="B14" s="41"/>
      <c r="C14" s="51"/>
      <c r="D14" s="52" t="s">
        <v>25</v>
      </c>
      <c r="E14" s="23"/>
      <c r="F14" s="63"/>
      <c r="G14" s="72"/>
      <c r="H14" s="46">
        <v>25.21</v>
      </c>
      <c r="I14" s="73"/>
      <c r="J14" s="66"/>
      <c r="K14" s="47"/>
      <c r="L14" s="48"/>
    </row>
    <row r="15" spans="1:22" ht="36" customHeight="1" thickBot="1">
      <c r="A15" s="53"/>
      <c r="B15" s="54"/>
      <c r="C15" s="55"/>
      <c r="D15" s="56"/>
      <c r="E15" s="59"/>
      <c r="F15" s="64">
        <f t="shared" ref="F15:L15" si="3">SUM(F4:F13)</f>
        <v>474.99</v>
      </c>
      <c r="G15" s="74">
        <f t="shared" si="3"/>
        <v>76.39</v>
      </c>
      <c r="H15" s="39">
        <f>SUM(H4:H14)</f>
        <v>66.710000000000008</v>
      </c>
      <c r="I15" s="75">
        <f>SUM(I4:I13)</f>
        <v>11.98</v>
      </c>
      <c r="J15" s="60">
        <f>SUM(F15-G15-H15-I15)</f>
        <v>319.90999999999997</v>
      </c>
      <c r="K15" s="49">
        <f t="shared" si="1"/>
        <v>191.94599999999997</v>
      </c>
      <c r="L15" s="50">
        <f t="shared" si="2"/>
        <v>127.964</v>
      </c>
    </row>
    <row r="16" spans="1:22" ht="36" customHeight="1">
      <c r="B16" s="13"/>
      <c r="C16" s="14"/>
      <c r="D16" s="15"/>
      <c r="E16" s="16"/>
      <c r="F16" s="17"/>
      <c r="G16" s="17"/>
      <c r="H16" s="17"/>
      <c r="I16" s="7"/>
      <c r="J16" s="17"/>
      <c r="K16" s="17"/>
      <c r="L16" s="17"/>
    </row>
    <row r="17" spans="2:10" ht="36" customHeight="1">
      <c r="B17" s="13"/>
      <c r="C17" s="14"/>
      <c r="D17" s="15"/>
      <c r="E17" s="16"/>
      <c r="F17" s="17"/>
      <c r="G17" s="17"/>
      <c r="H17" s="17"/>
      <c r="I17" s="17"/>
      <c r="J17" s="17"/>
    </row>
    <row r="18" spans="2:10" ht="36" customHeight="1">
      <c r="B18" s="13"/>
      <c r="C18" s="14"/>
      <c r="D18" s="15"/>
      <c r="E18" s="16"/>
      <c r="F18" s="17"/>
      <c r="G18" s="17"/>
      <c r="H18" s="17"/>
      <c r="I18" s="17"/>
      <c r="J18" s="17"/>
    </row>
    <row r="19" spans="2:10" ht="36" customHeight="1"/>
    <row r="20" spans="2:10" ht="36" customHeight="1"/>
    <row r="21" spans="2:10" ht="36" customHeight="1"/>
    <row r="22" spans="2:10" ht="36" customHeight="1">
      <c r="J22" s="32"/>
    </row>
    <row r="23" spans="2:10" ht="36" customHeight="1"/>
  </sheetData>
  <mergeCells count="1">
    <mergeCell ref="A1:L1"/>
  </mergeCells>
  <printOptions horizontalCentered="1"/>
  <pageMargins left="0" right="0" top="0.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8"/>
  <sheetViews>
    <sheetView workbookViewId="0">
      <selection sqref="A1:I48"/>
    </sheetView>
  </sheetViews>
  <sheetFormatPr defaultRowHeight="18"/>
  <cols>
    <col min="1" max="1" width="7.28515625" style="3" customWidth="1"/>
    <col min="2" max="2" width="8.7109375" style="2" customWidth="1"/>
    <col min="3" max="3" width="46.28515625" style="2" customWidth="1"/>
    <col min="4" max="7" width="12.7109375" style="5" customWidth="1"/>
    <col min="8" max="8" width="11.140625" style="6" customWidth="1"/>
    <col min="9" max="9" width="12" style="6" customWidth="1"/>
    <col min="10" max="16384" width="9.140625" style="2"/>
  </cols>
  <sheetData>
    <row r="1" spans="1:9">
      <c r="A1" s="2"/>
      <c r="D1" s="2"/>
      <c r="E1" s="2"/>
      <c r="F1" s="2"/>
      <c r="G1" s="2"/>
      <c r="H1" s="2"/>
      <c r="I1" s="2"/>
    </row>
    <row r="2" spans="1:9" ht="18" customHeight="1">
      <c r="A2" s="2"/>
      <c r="D2" s="2"/>
      <c r="E2" s="2"/>
      <c r="F2" s="2"/>
      <c r="G2" s="2"/>
      <c r="H2" s="2"/>
      <c r="I2" s="2"/>
    </row>
    <row r="3" spans="1:9" ht="18.75" hidden="1" customHeight="1" thickBot="1">
      <c r="A3" s="2"/>
      <c r="D3" s="2"/>
      <c r="E3" s="2"/>
      <c r="F3" s="2"/>
      <c r="G3" s="2"/>
      <c r="H3" s="2"/>
      <c r="I3" s="2"/>
    </row>
    <row r="4" spans="1:9" s="4" customFormat="1"/>
    <row r="5" spans="1:9" ht="35.25" customHeight="1">
      <c r="A5" s="2"/>
      <c r="D5" s="2"/>
      <c r="E5" s="2"/>
      <c r="F5" s="2"/>
      <c r="G5" s="2"/>
      <c r="H5" s="2"/>
      <c r="I5" s="2"/>
    </row>
    <row r="6" spans="1:9" ht="18.75" hidden="1" customHeight="1" thickBot="1">
      <c r="A6" s="2"/>
      <c r="D6" s="2"/>
      <c r="E6" s="2"/>
      <c r="F6" s="2"/>
      <c r="G6" s="2"/>
      <c r="H6" s="2"/>
      <c r="I6" s="2"/>
    </row>
    <row r="7" spans="1:9" ht="18.75" hidden="1" customHeight="1" thickBot="1">
      <c r="A7" s="2"/>
      <c r="D7" s="2"/>
      <c r="E7" s="2"/>
      <c r="F7" s="2"/>
      <c r="G7" s="2"/>
      <c r="H7" s="2"/>
      <c r="I7" s="2"/>
    </row>
    <row r="8" spans="1:9">
      <c r="A8" s="2"/>
      <c r="D8" s="2"/>
      <c r="E8" s="2"/>
      <c r="F8" s="2"/>
      <c r="G8" s="2"/>
      <c r="H8" s="2"/>
      <c r="I8" s="2"/>
    </row>
    <row r="9" spans="1:9">
      <c r="A9" s="2"/>
      <c r="D9" s="2"/>
      <c r="E9" s="2"/>
      <c r="F9" s="2"/>
      <c r="G9" s="2"/>
      <c r="H9" s="2"/>
      <c r="I9" s="2"/>
    </row>
    <row r="10" spans="1:9" ht="30.75" customHeight="1">
      <c r="A10" s="2"/>
      <c r="D10" s="2"/>
      <c r="E10" s="2"/>
      <c r="F10" s="2"/>
      <c r="G10" s="2"/>
      <c r="H10" s="2"/>
      <c r="I10" s="2"/>
    </row>
    <row r="11" spans="1:9" ht="18.75" customHeight="1">
      <c r="A11" s="2"/>
      <c r="D11" s="2"/>
      <c r="E11" s="2"/>
      <c r="F11" s="2"/>
      <c r="G11" s="2"/>
      <c r="H11" s="2"/>
      <c r="I11" s="2"/>
    </row>
    <row r="12" spans="1:9" ht="34.5" customHeight="1">
      <c r="A12" s="2"/>
      <c r="D12" s="2"/>
      <c r="E12" s="2"/>
      <c r="F12" s="2"/>
      <c r="G12" s="2"/>
      <c r="H12" s="2"/>
      <c r="I12" s="2"/>
    </row>
    <row r="13" spans="1:9" ht="16.5" customHeight="1">
      <c r="A13" s="2"/>
      <c r="D13" s="2"/>
      <c r="E13" s="2"/>
      <c r="F13" s="2"/>
      <c r="G13" s="2"/>
      <c r="H13" s="2"/>
      <c r="I13" s="2"/>
    </row>
    <row r="14" spans="1:9" ht="38.25" customHeight="1">
      <c r="A14" s="2"/>
      <c r="D14" s="2"/>
      <c r="E14" s="2"/>
      <c r="F14" s="2"/>
      <c r="G14" s="2"/>
      <c r="H14" s="2"/>
      <c r="I14" s="2"/>
    </row>
    <row r="15" spans="1:9">
      <c r="A15" s="2"/>
      <c r="D15" s="2"/>
      <c r="E15" s="2"/>
      <c r="F15" s="2"/>
      <c r="G15" s="2"/>
      <c r="H15" s="2"/>
      <c r="I15" s="2"/>
    </row>
    <row r="16" spans="1:9">
      <c r="A16" s="2"/>
      <c r="D16" s="2"/>
      <c r="E16" s="2"/>
      <c r="F16" s="2"/>
      <c r="G16" s="2"/>
      <c r="H16" s="2"/>
      <c r="I16" s="2"/>
    </row>
    <row r="17" spans="1:9">
      <c r="A17" s="2"/>
      <c r="D17" s="2"/>
      <c r="E17" s="2"/>
      <c r="F17" s="2"/>
      <c r="G17" s="2"/>
      <c r="H17" s="2"/>
      <c r="I17" s="2"/>
    </row>
    <row r="18" spans="1:9" ht="30.75" customHeight="1">
      <c r="A18" s="2"/>
      <c r="D18" s="2"/>
      <c r="E18" s="2"/>
      <c r="F18" s="2"/>
      <c r="G18" s="2"/>
      <c r="H18" s="2"/>
      <c r="I18" s="2"/>
    </row>
    <row r="19" spans="1:9">
      <c r="A19" s="2"/>
      <c r="D19" s="2"/>
      <c r="E19" s="2"/>
      <c r="F19" s="2"/>
      <c r="G19" s="2"/>
      <c r="H19" s="2"/>
      <c r="I19" s="2"/>
    </row>
    <row r="20" spans="1:9">
      <c r="A20" s="2"/>
      <c r="D20" s="2"/>
      <c r="E20" s="2"/>
      <c r="F20" s="2"/>
      <c r="G20" s="2"/>
      <c r="H20" s="2"/>
      <c r="I20" s="2"/>
    </row>
    <row r="21" spans="1:9" ht="27.75" customHeight="1">
      <c r="A21" s="2"/>
      <c r="D21" s="2"/>
      <c r="E21" s="2"/>
      <c r="F21" s="2"/>
      <c r="G21" s="2"/>
      <c r="H21" s="2"/>
      <c r="I21" s="2"/>
    </row>
    <row r="22" spans="1:9">
      <c r="A22" s="2"/>
      <c r="D22" s="2"/>
      <c r="E22" s="2"/>
      <c r="F22" s="2"/>
      <c r="G22" s="2"/>
      <c r="H22" s="2"/>
      <c r="I22" s="2"/>
    </row>
    <row r="23" spans="1:9">
      <c r="A23" s="2"/>
      <c r="D23" s="2"/>
      <c r="E23" s="2"/>
      <c r="F23" s="2"/>
      <c r="G23" s="2"/>
      <c r="H23" s="2"/>
      <c r="I23" s="2"/>
    </row>
    <row r="24" spans="1:9">
      <c r="A24" s="2"/>
      <c r="D24" s="2"/>
      <c r="E24" s="2"/>
      <c r="F24" s="2"/>
      <c r="G24" s="2"/>
      <c r="H24" s="2"/>
      <c r="I24" s="2"/>
    </row>
    <row r="25" spans="1:9" ht="39.75" customHeight="1">
      <c r="A25" s="2"/>
      <c r="D25" s="2"/>
      <c r="E25" s="2"/>
      <c r="F25" s="2"/>
      <c r="G25" s="2"/>
      <c r="H25" s="2"/>
      <c r="I25" s="2"/>
    </row>
    <row r="26" spans="1:9">
      <c r="A26" s="2"/>
      <c r="D26" s="2"/>
      <c r="E26" s="2"/>
      <c r="F26" s="2"/>
      <c r="G26" s="2"/>
      <c r="H26" s="2"/>
      <c r="I26" s="2"/>
    </row>
    <row r="27" spans="1:9">
      <c r="A27" s="2"/>
      <c r="D27" s="2"/>
      <c r="E27" s="2"/>
      <c r="F27" s="2"/>
      <c r="G27" s="2"/>
      <c r="H27" s="2"/>
      <c r="I27" s="2"/>
    </row>
    <row r="28" spans="1:9" ht="40.5" customHeight="1">
      <c r="A28" s="2"/>
      <c r="D28" s="2"/>
      <c r="E28" s="2"/>
      <c r="F28" s="2"/>
      <c r="G28" s="2"/>
      <c r="H28" s="2"/>
      <c r="I28" s="2"/>
    </row>
    <row r="29" spans="1:9">
      <c r="A29" s="2"/>
      <c r="D29" s="2"/>
      <c r="E29" s="2"/>
      <c r="F29" s="2"/>
      <c r="G29" s="2"/>
      <c r="H29" s="2"/>
      <c r="I29" s="2"/>
    </row>
    <row r="30" spans="1:9">
      <c r="A30" s="2"/>
      <c r="D30" s="2"/>
      <c r="E30" s="2"/>
      <c r="F30" s="2"/>
      <c r="G30" s="2"/>
      <c r="H30" s="2"/>
      <c r="I30" s="2"/>
    </row>
    <row r="31" spans="1:9">
      <c r="A31" s="2"/>
      <c r="D31" s="2"/>
      <c r="E31" s="2"/>
      <c r="F31" s="2"/>
      <c r="G31" s="2"/>
      <c r="H31" s="2"/>
      <c r="I31" s="2"/>
    </row>
    <row r="32" spans="1:9" ht="162" customHeight="1">
      <c r="A32" s="2"/>
      <c r="D32" s="2"/>
      <c r="E32" s="2"/>
      <c r="F32" s="2"/>
      <c r="G32" s="2"/>
      <c r="H32" s="2"/>
      <c r="I32" s="2"/>
    </row>
    <row r="33" spans="1:9">
      <c r="A33" s="2"/>
      <c r="D33" s="2"/>
      <c r="E33" s="2"/>
      <c r="F33" s="2"/>
      <c r="G33" s="2"/>
      <c r="H33" s="2"/>
      <c r="I33" s="2"/>
    </row>
    <row r="34" spans="1:9">
      <c r="A34" s="2"/>
      <c r="D34" s="2"/>
      <c r="E34" s="2"/>
      <c r="F34" s="2"/>
      <c r="G34" s="2"/>
      <c r="H34" s="2"/>
      <c r="I34" s="2"/>
    </row>
    <row r="35" spans="1:9">
      <c r="A35" s="2"/>
      <c r="D35" s="2"/>
      <c r="E35" s="2"/>
      <c r="F35" s="2"/>
      <c r="G35" s="2"/>
      <c r="H35" s="2"/>
      <c r="I35" s="2"/>
    </row>
    <row r="36" spans="1:9" ht="94.5" customHeight="1">
      <c r="A36" s="2"/>
      <c r="D36" s="2"/>
      <c r="E36" s="2"/>
      <c r="F36" s="2"/>
      <c r="G36" s="2"/>
      <c r="H36" s="2"/>
      <c r="I36" s="2"/>
    </row>
    <row r="37" spans="1:9">
      <c r="A37" s="2"/>
      <c r="D37" s="2"/>
      <c r="E37" s="2"/>
      <c r="F37" s="2"/>
      <c r="G37" s="2"/>
      <c r="H37" s="2"/>
      <c r="I37" s="2"/>
    </row>
    <row r="38" spans="1:9">
      <c r="A38" s="2"/>
      <c r="D38" s="2"/>
      <c r="E38" s="2"/>
      <c r="F38" s="2"/>
      <c r="G38" s="2"/>
      <c r="H38" s="2"/>
      <c r="I38" s="2"/>
    </row>
    <row r="39" spans="1:9" ht="18" customHeight="1">
      <c r="A39" s="2"/>
      <c r="D39" s="2"/>
      <c r="E39" s="2"/>
      <c r="F39" s="2"/>
      <c r="G39" s="2"/>
      <c r="H39" s="2"/>
      <c r="I39" s="2"/>
    </row>
    <row r="40" spans="1:9">
      <c r="A40" s="2"/>
      <c r="D40" s="2"/>
      <c r="E40" s="2"/>
      <c r="F40" s="2"/>
      <c r="G40" s="2"/>
      <c r="H40" s="2"/>
      <c r="I40" s="2"/>
    </row>
    <row r="41" spans="1:9">
      <c r="A41" s="2"/>
      <c r="D41" s="2"/>
      <c r="E41" s="2"/>
      <c r="F41" s="2"/>
      <c r="G41" s="2"/>
      <c r="H41" s="2"/>
      <c r="I41" s="2"/>
    </row>
    <row r="42" spans="1:9">
      <c r="A42" s="2"/>
      <c r="D42" s="2"/>
      <c r="E42" s="2"/>
      <c r="F42" s="2"/>
      <c r="G42" s="2"/>
      <c r="H42" s="2"/>
      <c r="I42" s="2"/>
    </row>
    <row r="43" spans="1:9">
      <c r="A43" s="2"/>
      <c r="D43" s="2"/>
      <c r="E43" s="2"/>
      <c r="F43" s="2"/>
      <c r="G43" s="2"/>
      <c r="H43" s="2"/>
      <c r="I43" s="2"/>
    </row>
    <row r="44" spans="1:9">
      <c r="A44" s="2"/>
      <c r="D44" s="2"/>
      <c r="E44" s="2"/>
      <c r="F44" s="2"/>
      <c r="G44" s="2"/>
      <c r="H44" s="2"/>
      <c r="I44" s="2"/>
    </row>
    <row r="45" spans="1:9">
      <c r="A45" s="2"/>
      <c r="D45" s="2"/>
      <c r="E45" s="2"/>
      <c r="F45" s="2"/>
      <c r="G45" s="2"/>
      <c r="H45" s="2"/>
      <c r="I45" s="2"/>
    </row>
    <row r="46" spans="1:9">
      <c r="A46" s="2"/>
      <c r="D46" s="2"/>
      <c r="E46" s="2"/>
      <c r="F46" s="2"/>
      <c r="G46" s="2"/>
      <c r="H46" s="2"/>
      <c r="I46" s="2"/>
    </row>
    <row r="47" spans="1:9">
      <c r="A47" s="2"/>
      <c r="D47" s="2"/>
      <c r="E47" s="2"/>
      <c r="F47" s="2"/>
      <c r="G47" s="2"/>
      <c r="H47" s="2"/>
      <c r="I47" s="2"/>
    </row>
    <row r="48" spans="1:9">
      <c r="A48" s="2"/>
      <c r="D48" s="2"/>
      <c r="E48" s="2"/>
      <c r="F48" s="2"/>
      <c r="G48" s="2"/>
      <c r="H48" s="2"/>
      <c r="I48" s="2"/>
    </row>
  </sheetData>
  <pageMargins left="0.25" right="0.25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eBay Final $$</vt:lpstr>
      <vt:lpstr>Sheet1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Kelli Stegman</dc:creator>
  <cp:lastModifiedBy>Kelli Stegman</cp:lastModifiedBy>
  <cp:lastPrinted>2015-09-17T20:43:24Z</cp:lastPrinted>
  <dcterms:created xsi:type="dcterms:W3CDTF">2015-09-15T16:09:38Z</dcterms:created>
  <dcterms:modified xsi:type="dcterms:W3CDTF">2015-09-17T21:17:54Z</dcterms:modified>
</cp:coreProperties>
</file>