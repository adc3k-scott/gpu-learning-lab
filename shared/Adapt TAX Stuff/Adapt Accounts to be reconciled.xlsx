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1295" yWindow="315" windowWidth="9060" windowHeight="772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D178" i="1"/>
  <c r="G178"/>
  <c r="K178"/>
  <c r="D179" l="1"/>
  <c r="D180" s="1"/>
  <c r="K144"/>
  <c r="G144"/>
  <c r="D144"/>
  <c r="D73"/>
  <c r="K103"/>
  <c r="G103"/>
  <c r="D103"/>
  <c r="D56"/>
  <c r="K56"/>
  <c r="G56"/>
  <c r="G73"/>
  <c r="K73"/>
  <c r="K13"/>
  <c r="G13"/>
  <c r="D13"/>
  <c r="D15" s="1"/>
  <c r="G34"/>
  <c r="D34"/>
  <c r="K34"/>
  <c r="C220"/>
  <c r="D145" l="1"/>
  <c r="D146" s="1"/>
  <c r="D104"/>
  <c r="D105" s="1"/>
  <c r="D57"/>
  <c r="D74"/>
  <c r="D75" s="1"/>
  <c r="D35"/>
  <c r="D36" s="1"/>
  <c r="D58" l="1"/>
</calcChain>
</file>

<file path=xl/sharedStrings.xml><?xml version="1.0" encoding="utf-8"?>
<sst xmlns="http://schemas.openxmlformats.org/spreadsheetml/2006/main" count="258" uniqueCount="89">
  <si>
    <t>April</t>
  </si>
  <si>
    <t>Invoice Date</t>
  </si>
  <si>
    <t>Invoice #</t>
  </si>
  <si>
    <t>Invoice Person</t>
  </si>
  <si>
    <t>none</t>
  </si>
  <si>
    <t>Boogie</t>
  </si>
  <si>
    <t>Invoice $</t>
  </si>
  <si>
    <t>HB Dep Date</t>
  </si>
  <si>
    <t>HB Dep for</t>
  </si>
  <si>
    <t>HB Dep $</t>
  </si>
  <si>
    <t>FM Dep for</t>
  </si>
  <si>
    <t>FM Dep $</t>
  </si>
  <si>
    <t>FM Dep Date</t>
  </si>
  <si>
    <t>Invoice Balance</t>
  </si>
  <si>
    <t>Big B</t>
  </si>
  <si>
    <t>John Wayne</t>
  </si>
  <si>
    <t>Display</t>
  </si>
  <si>
    <t>Case</t>
  </si>
  <si>
    <t>?????</t>
  </si>
  <si>
    <t>May</t>
  </si>
  <si>
    <t xml:space="preserve">John Wayne </t>
  </si>
  <si>
    <t>Zac Leblanc</t>
  </si>
  <si>
    <t>Paypal</t>
  </si>
  <si>
    <t>June</t>
  </si>
  <si>
    <t>Jebby Jeb</t>
  </si>
  <si>
    <t>Rockstone</t>
  </si>
  <si>
    <t>Wendy Reynolds</t>
  </si>
  <si>
    <t>D Broussard</t>
  </si>
  <si>
    <t>C Dinger</t>
  </si>
  <si>
    <t>M Romero</t>
  </si>
  <si>
    <t>??????</t>
  </si>
  <si>
    <t>INVOICE TOTALS</t>
  </si>
  <si>
    <t>TOTAL HB DEP</t>
  </si>
  <si>
    <t>TOTAL FM DEP</t>
  </si>
  <si>
    <t>INVOICE DEP TOTALS</t>
  </si>
  <si>
    <t>DIFFERENCE</t>
  </si>
  <si>
    <t>July</t>
  </si>
  <si>
    <t>Joey Wag</t>
  </si>
  <si>
    <t>Cy</t>
  </si>
  <si>
    <t>$50 short</t>
  </si>
  <si>
    <t>E Guillory</t>
  </si>
  <si>
    <t>Big B New Total $233.47</t>
  </si>
  <si>
    <t>Note: Kelli borrowed $400 towards E Guillory and $60 towards Big B invoice from 4/6/2015</t>
  </si>
  <si>
    <t>Aug</t>
  </si>
  <si>
    <t>Brian Carpenter</t>
  </si>
  <si>
    <t>B Carpenter</t>
  </si>
  <si>
    <t>Chris Hebert</t>
  </si>
  <si>
    <t>lobo</t>
  </si>
  <si>
    <t>C Hebert</t>
  </si>
  <si>
    <t>$324 short</t>
  </si>
  <si>
    <t>$130 short</t>
  </si>
  <si>
    <t>$400 short</t>
  </si>
  <si>
    <t>Other Deposits made that don’t count towards Invoice Total</t>
  </si>
  <si>
    <t>Vegas Repay</t>
  </si>
  <si>
    <t>Fund transfer for J Wag</t>
  </si>
  <si>
    <t xml:space="preserve">Big B </t>
  </si>
  <si>
    <t xml:space="preserve">$233.47 Left </t>
  </si>
  <si>
    <t>Fund Transfer B Carpenter</t>
  </si>
  <si>
    <t>This is a Fund transfer so, is not part of total</t>
  </si>
  <si>
    <t>CJ/Kelli Capital</t>
  </si>
  <si>
    <t>Paid cash</t>
  </si>
  <si>
    <t>Payroll Dep</t>
  </si>
  <si>
    <t>I made this deposit to cover payroll</t>
  </si>
  <si>
    <t>CY stator/gaskets</t>
  </si>
  <si>
    <t>Payment</t>
  </si>
  <si>
    <t>$24.00 Left</t>
  </si>
  <si>
    <t>Sept</t>
  </si>
  <si>
    <t>Wayne Romero</t>
  </si>
  <si>
    <t>After Hours Cus</t>
  </si>
  <si>
    <t>Jason Romero</t>
  </si>
  <si>
    <t>Paid Cash Dep</t>
  </si>
  <si>
    <t>Skin</t>
  </si>
  <si>
    <t>Aaron (JW)</t>
  </si>
  <si>
    <t>Chee</t>
  </si>
  <si>
    <t>$6 short</t>
  </si>
  <si>
    <t>Ashley</t>
  </si>
  <si>
    <t>No Invoice</t>
  </si>
  <si>
    <t>?????????</t>
  </si>
  <si>
    <t>Aaron Babeneaux</t>
  </si>
  <si>
    <t>HD Reciept</t>
  </si>
  <si>
    <t>Oct</t>
  </si>
  <si>
    <t>Chad Thib</t>
  </si>
  <si>
    <t>JW New Total $24.00</t>
  </si>
  <si>
    <t>$300 short</t>
  </si>
  <si>
    <t>$84.85 short</t>
  </si>
  <si>
    <t>Tank</t>
  </si>
  <si>
    <t>Zack</t>
  </si>
  <si>
    <t>Knuckles</t>
  </si>
  <si>
    <t>Update Invoice</t>
  </si>
</sst>
</file>

<file path=xl/styles.xml><?xml version="1.0" encoding="utf-8"?>
<styleSheet xmlns="http://schemas.openxmlformats.org/spreadsheetml/2006/main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3"/>
      <name val="Calibri"/>
      <family val="2"/>
      <scheme val="minor"/>
    </font>
    <font>
      <i/>
      <u/>
      <sz val="11"/>
      <color theme="3"/>
      <name val="Calibri"/>
      <family val="2"/>
      <scheme val="minor"/>
    </font>
    <font>
      <sz val="10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u val="singleAccounting"/>
      <sz val="11"/>
      <name val="Calibri"/>
      <family val="2"/>
      <scheme val="minor"/>
    </font>
    <font>
      <b/>
      <i/>
      <sz val="14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6">
    <xf numFmtId="0" fontId="0" fillId="0" borderId="0" xfId="0"/>
    <xf numFmtId="0" fontId="0" fillId="0" borderId="0" xfId="0" applyAlignment="1">
      <alignment horizontal="left"/>
    </xf>
    <xf numFmtId="44" fontId="0" fillId="0" borderId="0" xfId="1" applyFont="1"/>
    <xf numFmtId="14" fontId="0" fillId="0" borderId="1" xfId="0" applyNumberFormat="1" applyBorder="1" applyAlignment="1">
      <alignment horizontal="left"/>
    </xf>
    <xf numFmtId="0" fontId="0" fillId="0" borderId="1" xfId="0" applyBorder="1"/>
    <xf numFmtId="44" fontId="0" fillId="0" borderId="1" xfId="1" applyFont="1" applyBorder="1"/>
    <xf numFmtId="0" fontId="0" fillId="2" borderId="1" xfId="0" applyFill="1" applyBorder="1"/>
    <xf numFmtId="44" fontId="0" fillId="2" borderId="1" xfId="1" applyFont="1" applyFill="1" applyBorder="1"/>
    <xf numFmtId="0" fontId="0" fillId="0" borderId="1" xfId="0" applyBorder="1" applyAlignment="1">
      <alignment horizontal="left"/>
    </xf>
    <xf numFmtId="0" fontId="2" fillId="0" borderId="1" xfId="0" applyFont="1" applyBorder="1"/>
    <xf numFmtId="44" fontId="0" fillId="3" borderId="1" xfId="1" applyFont="1" applyFill="1" applyBorder="1"/>
    <xf numFmtId="44" fontId="3" fillId="3" borderId="1" xfId="1" applyFont="1" applyFill="1" applyBorder="1"/>
    <xf numFmtId="44" fontId="3" fillId="2" borderId="1" xfId="1" applyFont="1" applyFill="1" applyBorder="1"/>
    <xf numFmtId="44" fontId="5" fillId="0" borderId="1" xfId="1" applyFont="1" applyBorder="1"/>
    <xf numFmtId="0" fontId="5" fillId="0" borderId="1" xfId="0" applyFont="1" applyBorder="1"/>
    <xf numFmtId="14" fontId="5" fillId="0" borderId="1" xfId="0" applyNumberFormat="1" applyFont="1" applyBorder="1"/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0" fillId="0" borderId="0" xfId="0" applyNumberFormat="1" applyBorder="1" applyAlignment="1">
      <alignment horizontal="left"/>
    </xf>
    <xf numFmtId="0" fontId="0" fillId="0" borderId="0" xfId="0" applyBorder="1"/>
    <xf numFmtId="44" fontId="0" fillId="0" borderId="0" xfId="1" applyFont="1" applyBorder="1"/>
    <xf numFmtId="14" fontId="0" fillId="4" borderId="1" xfId="0" applyNumberFormat="1" applyFill="1" applyBorder="1" applyAlignment="1">
      <alignment horizontal="left"/>
    </xf>
    <xf numFmtId="0" fontId="0" fillId="4" borderId="1" xfId="0" applyFill="1" applyBorder="1"/>
    <xf numFmtId="44" fontId="0" fillId="4" borderId="1" xfId="1" applyFont="1" applyFill="1" applyBorder="1"/>
    <xf numFmtId="0" fontId="2" fillId="4" borderId="1" xfId="0" applyFont="1" applyFill="1" applyBorder="1"/>
    <xf numFmtId="14" fontId="3" fillId="4" borderId="1" xfId="0" applyNumberFormat="1" applyFont="1" applyFill="1" applyBorder="1" applyAlignment="1">
      <alignment horizontal="left"/>
    </xf>
    <xf numFmtId="0" fontId="3" fillId="4" borderId="1" xfId="0" applyFont="1" applyFill="1" applyBorder="1"/>
    <xf numFmtId="44" fontId="3" fillId="4" borderId="1" xfId="1" applyFont="1" applyFill="1" applyBorder="1"/>
    <xf numFmtId="0" fontId="4" fillId="4" borderId="1" xfId="0" applyFont="1" applyFill="1" applyBorder="1"/>
    <xf numFmtId="14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4" fontId="0" fillId="4" borderId="1" xfId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left"/>
    </xf>
    <xf numFmtId="44" fontId="2" fillId="4" borderId="1" xfId="1" applyFont="1" applyFill="1" applyBorder="1"/>
    <xf numFmtId="0" fontId="2" fillId="0" borderId="0" xfId="0" applyFont="1"/>
    <xf numFmtId="0" fontId="0" fillId="4" borderId="1" xfId="0" applyFont="1" applyFill="1" applyBorder="1" applyAlignment="1">
      <alignment horizontal="center"/>
    </xf>
    <xf numFmtId="44" fontId="1" fillId="4" borderId="1" xfId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4" fontId="0" fillId="4" borderId="1" xfId="0" applyNumberFormat="1" applyFill="1" applyBorder="1" applyAlignment="1"/>
    <xf numFmtId="44" fontId="0" fillId="4" borderId="1" xfId="1" applyFont="1" applyFill="1" applyBorder="1" applyAlignment="1"/>
    <xf numFmtId="14" fontId="3" fillId="4" borderId="1" xfId="0" applyNumberFormat="1" applyFont="1" applyFill="1" applyBorder="1" applyAlignment="1"/>
    <xf numFmtId="44" fontId="3" fillId="4" borderId="1" xfId="1" applyFont="1" applyFill="1" applyBorder="1" applyAlignment="1"/>
    <xf numFmtId="0" fontId="0" fillId="0" borderId="1" xfId="0" applyBorder="1" applyAlignment="1"/>
    <xf numFmtId="44" fontId="0" fillId="0" borderId="1" xfId="1" applyFont="1" applyBorder="1" applyAlignment="1"/>
    <xf numFmtId="14" fontId="2" fillId="4" borderId="1" xfId="0" applyNumberFormat="1" applyFont="1" applyFill="1" applyBorder="1" applyAlignment="1">
      <alignment horizontal="center"/>
    </xf>
    <xf numFmtId="44" fontId="2" fillId="4" borderId="1" xfId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4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44" fontId="3" fillId="4" borderId="1" xfId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44" fontId="14" fillId="4" borderId="1" xfId="1" applyFont="1" applyFill="1" applyBorder="1" applyAlignment="1">
      <alignment horizontal="center"/>
    </xf>
    <xf numFmtId="44" fontId="14" fillId="4" borderId="1" xfId="0" applyNumberFormat="1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44" fontId="14" fillId="4" borderId="2" xfId="1" applyFont="1" applyFill="1" applyBorder="1" applyAlignment="1">
      <alignment horizontal="right"/>
    </xf>
    <xf numFmtId="44" fontId="14" fillId="4" borderId="4" xfId="1" applyFont="1" applyFill="1" applyBorder="1" applyAlignment="1">
      <alignment horizontal="right"/>
    </xf>
    <xf numFmtId="0" fontId="14" fillId="4" borderId="2" xfId="0" applyFont="1" applyFill="1" applyBorder="1" applyAlignment="1">
      <alignment horizontal="right"/>
    </xf>
    <xf numFmtId="0" fontId="14" fillId="4" borderId="4" xfId="0" applyFont="1" applyFill="1" applyBorder="1" applyAlignment="1">
      <alignment horizontal="right"/>
    </xf>
    <xf numFmtId="44" fontId="17" fillId="4" borderId="1" xfId="0" applyNumberFormat="1" applyFont="1" applyFill="1" applyBorder="1"/>
    <xf numFmtId="44" fontId="0" fillId="0" borderId="1" xfId="1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13" fontId="0" fillId="4" borderId="1" xfId="1" applyNumberFormat="1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2" fillId="4" borderId="1" xfId="0" applyNumberFormat="1" applyFont="1" applyFill="1" applyBorder="1" applyAlignment="1"/>
    <xf numFmtId="0" fontId="2" fillId="4" borderId="1" xfId="0" applyFont="1" applyFill="1" applyBorder="1" applyAlignment="1"/>
    <xf numFmtId="44" fontId="2" fillId="4" borderId="1" xfId="1" applyFont="1" applyFill="1" applyBorder="1" applyAlignment="1"/>
    <xf numFmtId="0" fontId="2" fillId="0" borderId="1" xfId="0" applyFont="1" applyBorder="1" applyAlignment="1"/>
    <xf numFmtId="44" fontId="2" fillId="0" borderId="0" xfId="1" applyFont="1" applyAlignment="1"/>
    <xf numFmtId="14" fontId="0" fillId="2" borderId="1" xfId="0" applyNumberFormat="1" applyFill="1" applyBorder="1" applyAlignment="1">
      <alignment horizontal="center"/>
    </xf>
    <xf numFmtId="44" fontId="0" fillId="2" borderId="1" xfId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4" fontId="0" fillId="5" borderId="1" xfId="1" applyFont="1" applyFill="1" applyBorder="1" applyAlignment="1">
      <alignment horizontal="center"/>
    </xf>
    <xf numFmtId="44" fontId="0" fillId="3" borderId="1" xfId="1" applyFont="1" applyFill="1" applyBorder="1" applyAlignment="1">
      <alignment horizontal="center"/>
    </xf>
    <xf numFmtId="14" fontId="0" fillId="3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  <xf numFmtId="44" fontId="0" fillId="6" borderId="1" xfId="1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4" fontId="0" fillId="2" borderId="5" xfId="0" applyNumberFormat="1" applyFill="1" applyBorder="1" applyAlignment="1">
      <alignment horizontal="center" vertical="center"/>
    </xf>
    <xf numFmtId="44" fontId="0" fillId="2" borderId="5" xfId="1" applyFont="1" applyFill="1" applyBorder="1" applyAlignment="1">
      <alignment horizontal="center" vertical="center"/>
    </xf>
    <xf numFmtId="44" fontId="0" fillId="2" borderId="7" xfId="1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14" fontId="0" fillId="7" borderId="5" xfId="0" applyNumberFormat="1" applyFill="1" applyBorder="1" applyAlignment="1">
      <alignment horizontal="center" vertical="center"/>
    </xf>
    <xf numFmtId="44" fontId="3" fillId="7" borderId="1" xfId="1" applyFont="1" applyFill="1" applyBorder="1" applyAlignment="1">
      <alignment horizontal="center"/>
    </xf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44" fontId="0" fillId="7" borderId="1" xfId="1" applyFont="1" applyFill="1" applyBorder="1" applyAlignment="1">
      <alignment horizontal="center"/>
    </xf>
    <xf numFmtId="14" fontId="3" fillId="7" borderId="1" xfId="0" applyNumberFormat="1" applyFont="1" applyFill="1" applyBorder="1" applyAlignment="1">
      <alignment horizontal="center"/>
    </xf>
    <xf numFmtId="44" fontId="3" fillId="2" borderId="1" xfId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44" fontId="3" fillId="5" borderId="1" xfId="1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4" fontId="3" fillId="3" borderId="1" xfId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14" fontId="0" fillId="9" borderId="1" xfId="0" applyNumberFormat="1" applyFill="1" applyBorder="1" applyAlignment="1">
      <alignment horizontal="center"/>
    </xf>
    <xf numFmtId="44" fontId="0" fillId="9" borderId="1" xfId="1" applyFont="1" applyFill="1" applyBorder="1" applyAlignment="1">
      <alignment horizontal="center"/>
    </xf>
    <xf numFmtId="0" fontId="20" fillId="9" borderId="2" xfId="0" applyFont="1" applyFill="1" applyBorder="1" applyAlignment="1">
      <alignment horizontal="center"/>
    </xf>
    <xf numFmtId="0" fontId="20" fillId="9" borderId="3" xfId="0" applyFont="1" applyFill="1" applyBorder="1" applyAlignment="1">
      <alignment horizontal="center"/>
    </xf>
    <xf numFmtId="0" fontId="20" fillId="9" borderId="4" xfId="0" applyFont="1" applyFill="1" applyBorder="1" applyAlignment="1">
      <alignment horizontal="center"/>
    </xf>
    <xf numFmtId="44" fontId="21" fillId="4" borderId="2" xfId="1" applyFont="1" applyFill="1" applyBorder="1" applyAlignment="1">
      <alignment horizontal="right"/>
    </xf>
    <xf numFmtId="44" fontId="21" fillId="4" borderId="4" xfId="1" applyFont="1" applyFill="1" applyBorder="1" applyAlignment="1">
      <alignment horizontal="right"/>
    </xf>
    <xf numFmtId="44" fontId="21" fillId="4" borderId="1" xfId="0" applyNumberFormat="1" applyFont="1" applyFill="1" applyBorder="1"/>
    <xf numFmtId="44" fontId="17" fillId="6" borderId="1" xfId="0" applyNumberFormat="1" applyFont="1" applyFill="1" applyBorder="1"/>
    <xf numFmtId="0" fontId="4" fillId="4" borderId="2" xfId="0" applyFont="1" applyFill="1" applyBorder="1"/>
    <xf numFmtId="44" fontId="3" fillId="4" borderId="4" xfId="1" applyFont="1" applyFill="1" applyBorder="1"/>
    <xf numFmtId="0" fontId="22" fillId="4" borderId="2" xfId="0" applyFont="1" applyFill="1" applyBorder="1" applyAlignment="1">
      <alignment horizontal="center"/>
    </xf>
    <xf numFmtId="0" fontId="22" fillId="4" borderId="3" xfId="0" applyFont="1" applyFill="1" applyBorder="1" applyAlignment="1">
      <alignment horizontal="center"/>
    </xf>
    <xf numFmtId="0" fontId="22" fillId="4" borderId="4" xfId="0" applyFont="1" applyFill="1" applyBorder="1" applyAlignment="1">
      <alignment horizontal="center"/>
    </xf>
    <xf numFmtId="44" fontId="0" fillId="5" borderId="5" xfId="1" applyFont="1" applyFill="1" applyBorder="1" applyAlignment="1">
      <alignment horizontal="center" vertical="center"/>
    </xf>
    <xf numFmtId="44" fontId="0" fillId="5" borderId="7" xfId="1" applyFont="1" applyFill="1" applyBorder="1" applyAlignment="1">
      <alignment horizontal="center" vertical="center"/>
    </xf>
    <xf numFmtId="14" fontId="0" fillId="3" borderId="5" xfId="0" applyNumberFormat="1" applyFill="1" applyBorder="1" applyAlignment="1">
      <alignment horizontal="center" vertical="center"/>
    </xf>
    <xf numFmtId="44" fontId="0" fillId="3" borderId="5" xfId="1" applyFont="1" applyFill="1" applyBorder="1" applyAlignment="1">
      <alignment horizontal="center" vertical="center"/>
    </xf>
    <xf numFmtId="14" fontId="0" fillId="3" borderId="6" xfId="0" applyNumberFormat="1" applyFill="1" applyBorder="1" applyAlignment="1">
      <alignment horizontal="center" vertical="center"/>
    </xf>
    <xf numFmtId="44" fontId="0" fillId="3" borderId="6" xfId="1" applyFont="1" applyFill="1" applyBorder="1" applyAlignment="1">
      <alignment horizontal="center" vertical="center"/>
    </xf>
    <xf numFmtId="14" fontId="0" fillId="3" borderId="7" xfId="0" applyNumberFormat="1" applyFill="1" applyBorder="1" applyAlignment="1">
      <alignment horizontal="center" vertical="center"/>
    </xf>
    <xf numFmtId="44" fontId="0" fillId="3" borderId="7" xfId="1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/>
    </xf>
    <xf numFmtId="14" fontId="0" fillId="7" borderId="1" xfId="0" applyNumberFormat="1" applyFill="1" applyBorder="1" applyAlignment="1">
      <alignment horizontal="center"/>
    </xf>
    <xf numFmtId="44" fontId="14" fillId="4" borderId="1" xfId="0" applyNumberFormat="1" applyFont="1" applyFill="1" applyBorder="1"/>
    <xf numFmtId="14" fontId="3" fillId="7" borderId="5" xfId="0" applyNumberFormat="1" applyFont="1" applyFill="1" applyBorder="1" applyAlignment="1">
      <alignment horizontal="center" vertical="center"/>
    </xf>
    <xf numFmtId="14" fontId="3" fillId="3" borderId="5" xfId="0" applyNumberFormat="1" applyFont="1" applyFill="1" applyBorder="1" applyAlignment="1">
      <alignment horizontal="center" vertical="center"/>
    </xf>
    <xf numFmtId="44" fontId="3" fillId="3" borderId="5" xfId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44" fontId="3" fillId="3" borderId="6" xfId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44" fontId="3" fillId="3" borderId="7" xfId="1" applyFont="1" applyFill="1" applyBorder="1" applyAlignment="1">
      <alignment horizontal="center" vertical="center"/>
    </xf>
    <xf numFmtId="6" fontId="0" fillId="3" borderId="1" xfId="1" applyNumberFormat="1" applyFont="1" applyFill="1" applyBorder="1" applyAlignment="1">
      <alignment horizontal="center"/>
    </xf>
    <xf numFmtId="6" fontId="0" fillId="4" borderId="1" xfId="1" applyNumberFormat="1" applyFont="1" applyFill="1" applyBorder="1" applyAlignment="1">
      <alignment horizont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44" fontId="19" fillId="4" borderId="1" xfId="1" applyFont="1" applyFill="1" applyBorder="1" applyAlignment="1">
      <alignment horizontal="center"/>
    </xf>
    <xf numFmtId="44" fontId="18" fillId="6" borderId="1" xfId="1" applyFont="1" applyFill="1" applyBorder="1" applyAlignment="1">
      <alignment horizontal="center"/>
    </xf>
    <xf numFmtId="44" fontId="19" fillId="6" borderId="1" xfId="1" applyFont="1" applyFill="1" applyBorder="1" applyAlignment="1">
      <alignment horizontal="center"/>
    </xf>
    <xf numFmtId="0" fontId="19" fillId="4" borderId="1" xfId="0" applyFont="1" applyFill="1" applyBorder="1" applyAlignment="1">
      <alignment horizontal="center"/>
    </xf>
    <xf numFmtId="0" fontId="19" fillId="6" borderId="1" xfId="0" applyFont="1" applyFill="1" applyBorder="1" applyAlignment="1">
      <alignment horizontal="center"/>
    </xf>
    <xf numFmtId="14" fontId="3" fillId="3" borderId="6" xfId="0" applyNumberFormat="1" applyFont="1" applyFill="1" applyBorder="1" applyAlignment="1">
      <alignment horizontal="center" vertical="center"/>
    </xf>
    <xf numFmtId="14" fontId="3" fillId="3" borderId="7" xfId="0" applyNumberFormat="1" applyFont="1" applyFill="1" applyBorder="1" applyAlignment="1">
      <alignment horizontal="center" vertical="center"/>
    </xf>
    <xf numFmtId="14" fontId="11" fillId="8" borderId="2" xfId="0" applyNumberFormat="1" applyFont="1" applyFill="1" applyBorder="1" applyAlignment="1">
      <alignment horizontal="center"/>
    </xf>
    <xf numFmtId="14" fontId="11" fillId="8" borderId="3" xfId="0" applyNumberFormat="1" applyFont="1" applyFill="1" applyBorder="1" applyAlignment="1">
      <alignment horizontal="center"/>
    </xf>
    <xf numFmtId="14" fontId="11" fillId="8" borderId="4" xfId="0" applyNumberFormat="1" applyFont="1" applyFill="1" applyBorder="1" applyAlignment="1">
      <alignment horizontal="center"/>
    </xf>
    <xf numFmtId="14" fontId="12" fillId="8" borderId="2" xfId="0" applyNumberFormat="1" applyFont="1" applyFill="1" applyBorder="1" applyAlignment="1">
      <alignment horizontal="center"/>
    </xf>
    <xf numFmtId="14" fontId="12" fillId="8" borderId="3" xfId="0" applyNumberFormat="1" applyFont="1" applyFill="1" applyBorder="1" applyAlignment="1">
      <alignment horizontal="center"/>
    </xf>
    <xf numFmtId="14" fontId="12" fillId="8" borderId="4" xfId="0" applyNumberFormat="1" applyFont="1" applyFill="1" applyBorder="1" applyAlignment="1">
      <alignment horizontal="center"/>
    </xf>
    <xf numFmtId="44" fontId="0" fillId="4" borderId="4" xfId="1" applyFont="1" applyFill="1" applyBorder="1" applyAlignment="1">
      <alignment horizontal="center"/>
    </xf>
    <xf numFmtId="14" fontId="15" fillId="2" borderId="2" xfId="0" applyNumberFormat="1" applyFont="1" applyFill="1" applyBorder="1" applyAlignment="1">
      <alignment horizontal="center"/>
    </xf>
    <xf numFmtId="14" fontId="15" fillId="2" borderId="3" xfId="0" applyNumberFormat="1" applyFont="1" applyFill="1" applyBorder="1" applyAlignment="1">
      <alignment horizontal="center"/>
    </xf>
    <xf numFmtId="14" fontId="15" fillId="2" borderId="4" xfId="0" applyNumberFormat="1" applyFont="1" applyFill="1" applyBorder="1" applyAlignment="1">
      <alignment horizontal="center"/>
    </xf>
    <xf numFmtId="0" fontId="3" fillId="9" borderId="1" xfId="0" applyFont="1" applyFill="1" applyBorder="1"/>
    <xf numFmtId="44" fontId="3" fillId="9" borderId="1" xfId="1" applyFont="1" applyFill="1" applyBorder="1"/>
    <xf numFmtId="14" fontId="3" fillId="9" borderId="1" xfId="0" applyNumberFormat="1" applyFont="1" applyFill="1" applyBorder="1" applyAlignment="1">
      <alignment horizontal="center"/>
    </xf>
    <xf numFmtId="44" fontId="0" fillId="9" borderId="2" xfId="1" applyFont="1" applyFill="1" applyBorder="1" applyAlignment="1">
      <alignment horizontal="center"/>
    </xf>
    <xf numFmtId="44" fontId="0" fillId="9" borderId="4" xfId="1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14" fontId="9" fillId="2" borderId="1" xfId="0" applyNumberFormat="1" applyFont="1" applyFill="1" applyBorder="1" applyAlignment="1">
      <alignment horizontal="center"/>
    </xf>
    <xf numFmtId="14" fontId="10" fillId="2" borderId="1" xfId="0" applyNumberFormat="1" applyFont="1" applyFill="1" applyBorder="1" applyAlignment="1">
      <alignment horizontal="center"/>
    </xf>
    <xf numFmtId="44" fontId="10" fillId="2" borderId="1" xfId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44" fontId="1" fillId="3" borderId="1" xfId="1" applyFont="1" applyFill="1" applyBorder="1" applyAlignment="1">
      <alignment horizontal="center"/>
    </xf>
    <xf numFmtId="44" fontId="0" fillId="3" borderId="5" xfId="1" applyFont="1" applyFill="1" applyBorder="1" applyAlignment="1">
      <alignment horizontal="center"/>
    </xf>
    <xf numFmtId="0" fontId="0" fillId="9" borderId="1" xfId="0" applyFill="1" applyBorder="1"/>
    <xf numFmtId="0" fontId="0" fillId="9" borderId="2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19" fillId="9" borderId="4" xfId="0" applyFont="1" applyFill="1" applyBorder="1" applyAlignment="1">
      <alignment horizontal="center"/>
    </xf>
    <xf numFmtId="44" fontId="24" fillId="9" borderId="1" xfId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4" fontId="0" fillId="9" borderId="1" xfId="0" applyNumberFormat="1" applyFill="1" applyBorder="1"/>
    <xf numFmtId="44" fontId="0" fillId="9" borderId="1" xfId="1" applyFont="1" applyFill="1" applyBorder="1"/>
    <xf numFmtId="0" fontId="0" fillId="9" borderId="3" xfId="0" applyFill="1" applyBorder="1" applyAlignment="1">
      <alignment horizontal="center"/>
    </xf>
    <xf numFmtId="14" fontId="0" fillId="2" borderId="1" xfId="0" applyNumberFormat="1" applyFont="1" applyFill="1" applyBorder="1" applyAlignment="1">
      <alignment horizontal="center"/>
    </xf>
    <xf numFmtId="14" fontId="0" fillId="3" borderId="5" xfId="0" applyNumberFormat="1" applyFont="1" applyFill="1" applyBorder="1" applyAlignment="1">
      <alignment horizontal="center" vertical="center"/>
    </xf>
    <xf numFmtId="14" fontId="0" fillId="3" borderId="6" xfId="0" applyNumberFormat="1" applyFont="1" applyFill="1" applyBorder="1" applyAlignment="1">
      <alignment horizontal="center" vertical="center"/>
    </xf>
    <xf numFmtId="14" fontId="0" fillId="3" borderId="7" xfId="0" applyNumberFormat="1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/>
    </xf>
    <xf numFmtId="8" fontId="0" fillId="6" borderId="1" xfId="1" applyNumberFormat="1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44" fontId="25" fillId="3" borderId="1" xfId="1" applyFont="1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44" fontId="0" fillId="7" borderId="5" xfId="1" applyFont="1" applyFill="1" applyBorder="1" applyAlignment="1">
      <alignment horizontal="center" vertical="center"/>
    </xf>
    <xf numFmtId="44" fontId="0" fillId="7" borderId="7" xfId="1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/>
    </xf>
    <xf numFmtId="14" fontId="0" fillId="2" borderId="7" xfId="0" applyNumberFormat="1" applyFill="1" applyBorder="1" applyAlignment="1">
      <alignment horizontal="center" vertical="center"/>
    </xf>
    <xf numFmtId="44" fontId="2" fillId="0" borderId="0" xfId="1" applyFont="1" applyAlignment="1">
      <alignment horizontal="center"/>
    </xf>
    <xf numFmtId="0" fontId="25" fillId="6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14" fontId="0" fillId="3" borderId="1" xfId="0" applyNumberFormat="1" applyFill="1" applyBorder="1"/>
    <xf numFmtId="0" fontId="9" fillId="3" borderId="1" xfId="0" applyFont="1" applyFill="1" applyBorder="1" applyAlignment="1">
      <alignment horizontal="center"/>
    </xf>
    <xf numFmtId="14" fontId="0" fillId="6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" fontId="0" fillId="2" borderId="1" xfId="1" applyNumberFormat="1" applyFont="1" applyFill="1" applyBorder="1" applyAlignment="1">
      <alignment horizontal="center"/>
    </xf>
    <xf numFmtId="44" fontId="0" fillId="2" borderId="5" xfId="1" applyFont="1" applyFill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/>
    </xf>
    <xf numFmtId="14" fontId="3" fillId="7" borderId="6" xfId="0" applyNumberFormat="1" applyFont="1" applyFill="1" applyBorder="1" applyAlignment="1">
      <alignment horizontal="center" vertical="center"/>
    </xf>
    <xf numFmtId="44" fontId="0" fillId="7" borderId="6" xfId="1" applyFont="1" applyFill="1" applyBorder="1" applyAlignment="1">
      <alignment horizontal="center" vertical="center"/>
    </xf>
    <xf numFmtId="44" fontId="0" fillId="7" borderId="5" xfId="1" applyFont="1" applyFill="1" applyBorder="1" applyAlignment="1">
      <alignment horizontal="center" vertical="center"/>
    </xf>
    <xf numFmtId="44" fontId="0" fillId="4" borderId="5" xfId="1" applyFont="1" applyFill="1" applyBorder="1" applyAlignment="1">
      <alignment horizontal="center"/>
    </xf>
    <xf numFmtId="44" fontId="25" fillId="4" borderId="1" xfId="1" applyFont="1" applyFill="1" applyBorder="1" applyAlignment="1">
      <alignment horizontal="center"/>
    </xf>
    <xf numFmtId="44" fontId="23" fillId="4" borderId="1" xfId="1" applyFont="1" applyFill="1" applyBorder="1" applyAlignment="1">
      <alignment horizontal="center"/>
    </xf>
    <xf numFmtId="0" fontId="27" fillId="6" borderId="1" xfId="0" applyFont="1" applyFill="1" applyBorder="1" applyAlignment="1">
      <alignment horizontal="center"/>
    </xf>
    <xf numFmtId="44" fontId="4" fillId="2" borderId="2" xfId="1" applyFont="1" applyFill="1" applyBorder="1" applyAlignment="1">
      <alignment horizontal="right"/>
    </xf>
    <xf numFmtId="44" fontId="4" fillId="2" borderId="4" xfId="1" applyFont="1" applyFill="1" applyBorder="1" applyAlignment="1">
      <alignment horizontal="right"/>
    </xf>
    <xf numFmtId="44" fontId="2" fillId="2" borderId="2" xfId="1" applyFont="1" applyFill="1" applyBorder="1" applyAlignment="1">
      <alignment horizontal="right"/>
    </xf>
    <xf numFmtId="44" fontId="2" fillId="2" borderId="4" xfId="1" applyFont="1" applyFill="1" applyBorder="1" applyAlignment="1">
      <alignment horizontal="right"/>
    </xf>
    <xf numFmtId="44" fontId="17" fillId="2" borderId="1" xfId="1" applyFont="1" applyFill="1" applyBorder="1" applyAlignment="1">
      <alignment horizontal="center"/>
    </xf>
    <xf numFmtId="14" fontId="26" fillId="10" borderId="5" xfId="0" applyNumberFormat="1" applyFont="1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44" fontId="0" fillId="10" borderId="5" xfId="1" applyFont="1" applyFill="1" applyBorder="1" applyAlignment="1">
      <alignment horizontal="center" vertical="center"/>
    </xf>
    <xf numFmtId="14" fontId="26" fillId="10" borderId="7" xfId="0" applyNumberFormat="1" applyFont="1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44" fontId="0" fillId="10" borderId="7" xfId="1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38"/>
  <sheetViews>
    <sheetView tabSelected="1" zoomScaleNormal="100" workbookViewId="0">
      <selection activeCell="J173" sqref="J173"/>
    </sheetView>
  </sheetViews>
  <sheetFormatPr defaultRowHeight="15"/>
  <cols>
    <col min="1" max="1" width="11.42578125" customWidth="1"/>
    <col min="2" max="2" width="9.7109375" customWidth="1"/>
    <col min="3" max="3" width="16.140625" customWidth="1"/>
    <col min="4" max="4" width="12.140625" customWidth="1"/>
    <col min="5" max="5" width="6.7109375" customWidth="1"/>
    <col min="6" max="6" width="13.140625" customWidth="1"/>
    <col min="7" max="7" width="11.5703125" customWidth="1"/>
    <col min="8" max="8" width="11.7109375" customWidth="1"/>
    <col min="9" max="9" width="9.7109375" customWidth="1"/>
    <col min="10" max="10" width="13.42578125" customWidth="1"/>
    <col min="11" max="11" width="10.5703125" customWidth="1"/>
    <col min="12" max="12" width="11.140625" customWidth="1"/>
    <col min="13" max="13" width="9.28515625" customWidth="1"/>
    <col min="14" max="14" width="17.28515625" customWidth="1"/>
  </cols>
  <sheetData>
    <row r="1" spans="1:14" ht="21">
      <c r="A1" s="152" t="s">
        <v>0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4"/>
    </row>
    <row r="2" spans="1:14">
      <c r="A2" s="34" t="s">
        <v>1</v>
      </c>
      <c r="B2" s="26" t="s">
        <v>2</v>
      </c>
      <c r="C2" s="35" t="s">
        <v>3</v>
      </c>
      <c r="D2" s="36" t="s">
        <v>6</v>
      </c>
      <c r="E2" s="9"/>
      <c r="F2" s="26" t="s">
        <v>7</v>
      </c>
      <c r="G2" s="26" t="s">
        <v>9</v>
      </c>
      <c r="H2" s="26" t="s">
        <v>8</v>
      </c>
      <c r="I2" s="26"/>
      <c r="J2" s="26" t="s">
        <v>12</v>
      </c>
      <c r="K2" s="26" t="s">
        <v>11</v>
      </c>
      <c r="L2" s="26" t="s">
        <v>10</v>
      </c>
      <c r="M2" s="26"/>
      <c r="N2" s="26" t="s">
        <v>13</v>
      </c>
    </row>
    <row r="3" spans="1:14">
      <c r="A3" s="94">
        <v>42095</v>
      </c>
      <c r="B3" s="86" t="s">
        <v>4</v>
      </c>
      <c r="C3" s="107" t="s">
        <v>5</v>
      </c>
      <c r="D3" s="83">
        <v>480</v>
      </c>
      <c r="E3" s="54"/>
      <c r="F3" s="85">
        <v>42096</v>
      </c>
      <c r="G3" s="84">
        <v>480</v>
      </c>
      <c r="H3" s="84">
        <v>480</v>
      </c>
      <c r="I3" s="32"/>
      <c r="J3" s="37"/>
      <c r="K3" s="33"/>
      <c r="L3" s="38"/>
      <c r="M3" s="38"/>
      <c r="N3" s="141">
        <v>0</v>
      </c>
    </row>
    <row r="4" spans="1:14">
      <c r="A4" s="31"/>
      <c r="B4" s="32"/>
      <c r="C4" s="33"/>
      <c r="D4" s="33"/>
      <c r="E4" s="33"/>
      <c r="F4" s="32"/>
      <c r="G4" s="33"/>
      <c r="H4" s="32"/>
      <c r="I4" s="32"/>
      <c r="J4" s="32"/>
      <c r="K4" s="33"/>
      <c r="L4" s="33"/>
      <c r="M4" s="33"/>
      <c r="N4" s="33"/>
    </row>
    <row r="5" spans="1:14">
      <c r="A5" s="80">
        <v>42100</v>
      </c>
      <c r="B5" s="82" t="s">
        <v>4</v>
      </c>
      <c r="C5" s="101" t="s">
        <v>14</v>
      </c>
      <c r="D5" s="83">
        <v>393.47</v>
      </c>
      <c r="E5" s="33"/>
      <c r="F5" s="32"/>
      <c r="G5" s="33"/>
      <c r="H5" s="32"/>
      <c r="I5" s="32"/>
      <c r="J5" s="32"/>
      <c r="K5" s="33"/>
      <c r="L5" s="33"/>
      <c r="M5" s="33"/>
      <c r="N5" s="81">
        <v>393.47</v>
      </c>
    </row>
    <row r="6" spans="1:14">
      <c r="A6" s="31"/>
      <c r="B6" s="32"/>
      <c r="C6" s="70">
        <v>0.31818181818181818</v>
      </c>
      <c r="D6" s="33">
        <v>-60</v>
      </c>
      <c r="E6" s="33"/>
      <c r="F6" s="32"/>
      <c r="G6" s="33"/>
      <c r="H6" s="32"/>
      <c r="I6" s="32"/>
      <c r="J6" s="32"/>
      <c r="K6" s="33"/>
      <c r="L6" s="33"/>
      <c r="M6" s="205">
        <v>42207</v>
      </c>
      <c r="N6" s="81">
        <v>-60</v>
      </c>
    </row>
    <row r="7" spans="1:14">
      <c r="A7" s="31"/>
      <c r="B7" s="32"/>
      <c r="C7" s="70">
        <v>0.61538461538461542</v>
      </c>
      <c r="D7" s="33">
        <v>-100</v>
      </c>
      <c r="E7" s="33"/>
      <c r="F7" s="32"/>
      <c r="G7" s="33"/>
      <c r="H7" s="32"/>
      <c r="I7" s="32"/>
      <c r="J7" s="32"/>
      <c r="K7" s="33"/>
      <c r="L7" s="33"/>
      <c r="M7" s="205">
        <v>42229</v>
      </c>
      <c r="N7" s="81">
        <v>-100</v>
      </c>
    </row>
    <row r="8" spans="1:14">
      <c r="A8" s="31"/>
      <c r="B8" s="32"/>
      <c r="C8" s="33"/>
      <c r="D8" s="33"/>
      <c r="E8" s="33"/>
      <c r="F8" s="32"/>
      <c r="G8" s="33"/>
      <c r="H8" s="148"/>
      <c r="I8" s="32"/>
      <c r="J8" s="32"/>
      <c r="K8" s="33"/>
      <c r="L8" s="33"/>
      <c r="M8" s="215" t="s">
        <v>41</v>
      </c>
      <c r="N8" s="216"/>
    </row>
    <row r="9" spans="1:14">
      <c r="A9" s="31"/>
      <c r="B9" s="32"/>
      <c r="C9" s="33"/>
      <c r="D9" s="33"/>
      <c r="E9" s="33"/>
      <c r="F9" s="32"/>
      <c r="G9" s="33"/>
      <c r="H9" s="32"/>
      <c r="I9" s="32"/>
      <c r="J9" s="32"/>
      <c r="K9" s="33"/>
      <c r="L9" s="33"/>
      <c r="M9" s="70"/>
      <c r="N9" s="33"/>
    </row>
    <row r="10" spans="1:14">
      <c r="A10" s="94">
        <v>42116</v>
      </c>
      <c r="B10" s="86" t="s">
        <v>4</v>
      </c>
      <c r="C10" s="107" t="s">
        <v>15</v>
      </c>
      <c r="D10" s="83" t="s">
        <v>16</v>
      </c>
      <c r="E10" s="54"/>
      <c r="F10" s="32"/>
      <c r="G10" s="33"/>
      <c r="H10" s="32"/>
      <c r="I10" s="32"/>
      <c r="J10" s="32"/>
      <c r="K10" s="33"/>
      <c r="L10" s="33"/>
      <c r="M10" s="33"/>
      <c r="N10" s="141">
        <v>0</v>
      </c>
    </row>
    <row r="11" spans="1:14">
      <c r="A11" s="31"/>
      <c r="B11" s="32"/>
      <c r="C11" s="33"/>
      <c r="D11" s="83" t="s">
        <v>17</v>
      </c>
      <c r="E11" s="33"/>
      <c r="F11" s="32"/>
      <c r="G11" s="33"/>
      <c r="H11" s="32"/>
      <c r="I11" s="32"/>
      <c r="J11" s="32"/>
      <c r="K11" s="33"/>
      <c r="L11" s="33"/>
      <c r="M11" s="33"/>
      <c r="N11" s="33"/>
    </row>
    <row r="12" spans="1:14">
      <c r="A12" s="31"/>
      <c r="B12" s="32"/>
      <c r="C12" s="33"/>
      <c r="D12" s="33"/>
      <c r="E12" s="33"/>
      <c r="F12" s="32"/>
      <c r="G12" s="33"/>
      <c r="H12" s="32"/>
      <c r="I12" s="32"/>
      <c r="J12" s="32"/>
      <c r="K12" s="33"/>
      <c r="L12" s="33"/>
      <c r="M12" s="33"/>
      <c r="N12" s="33"/>
    </row>
    <row r="13" spans="1:14">
      <c r="A13" s="31"/>
      <c r="B13" s="53"/>
      <c r="C13" s="56" t="s">
        <v>31</v>
      </c>
      <c r="D13" s="57">
        <f>SUM(D3:D11)</f>
        <v>713.47</v>
      </c>
      <c r="E13" s="51"/>
      <c r="F13" s="58" t="s">
        <v>32</v>
      </c>
      <c r="G13" s="56">
        <f>SUM(G3:G11)</f>
        <v>480</v>
      </c>
      <c r="H13" s="51"/>
      <c r="I13" s="51"/>
      <c r="J13" s="58" t="s">
        <v>33</v>
      </c>
      <c r="K13" s="56">
        <f>SUM(K11:K11)</f>
        <v>0</v>
      </c>
      <c r="L13" s="52"/>
      <c r="M13" s="33"/>
      <c r="N13" s="33"/>
    </row>
    <row r="14" spans="1:14" ht="17.25">
      <c r="A14" s="50"/>
      <c r="B14" s="114" t="s">
        <v>34</v>
      </c>
      <c r="C14" s="115"/>
      <c r="D14" s="116">
        <v>480</v>
      </c>
      <c r="E14" s="28"/>
      <c r="F14" s="28"/>
      <c r="G14" s="29"/>
      <c r="H14" s="28"/>
      <c r="I14" s="28"/>
      <c r="J14" s="28"/>
      <c r="K14" s="29"/>
      <c r="L14" s="29"/>
      <c r="M14" s="52"/>
      <c r="N14" s="52"/>
    </row>
    <row r="15" spans="1:14" ht="15.75">
      <c r="A15" s="42"/>
      <c r="B15" s="61" t="s">
        <v>35</v>
      </c>
      <c r="C15" s="62"/>
      <c r="D15" s="117">
        <f>SUM(D14-D13)</f>
        <v>-233.47000000000003</v>
      </c>
      <c r="E15" s="28"/>
      <c r="F15" s="28"/>
      <c r="G15" s="29"/>
      <c r="H15" s="28"/>
      <c r="I15" s="28"/>
      <c r="J15" s="71"/>
      <c r="K15" s="72"/>
      <c r="L15" s="73"/>
      <c r="M15" s="43"/>
      <c r="N15" s="43"/>
    </row>
    <row r="16" spans="1:14" ht="18.75">
      <c r="A16" s="40"/>
      <c r="B16" s="30"/>
      <c r="C16" s="29"/>
      <c r="D16" s="28"/>
      <c r="E16" s="28"/>
      <c r="F16" s="120" t="s">
        <v>52</v>
      </c>
      <c r="G16" s="121"/>
      <c r="H16" s="121"/>
      <c r="I16" s="121"/>
      <c r="J16" s="121"/>
      <c r="K16" s="121"/>
      <c r="L16" s="122"/>
      <c r="M16" s="41"/>
      <c r="N16" s="41"/>
    </row>
    <row r="17" spans="1:14">
      <c r="A17" s="40"/>
      <c r="B17" s="118"/>
      <c r="C17" s="119"/>
      <c r="D17" s="28"/>
      <c r="E17" s="28"/>
      <c r="F17" s="28"/>
      <c r="G17" s="28"/>
      <c r="H17" s="28"/>
      <c r="I17" s="28"/>
      <c r="J17" s="109">
        <v>42114</v>
      </c>
      <c r="K17" s="110">
        <v>0.08</v>
      </c>
      <c r="L17" s="110" t="s">
        <v>22</v>
      </c>
      <c r="M17" s="41"/>
      <c r="N17" s="41"/>
    </row>
    <row r="18" spans="1:14">
      <c r="A18" s="40"/>
      <c r="B18" s="118"/>
      <c r="C18" s="119"/>
      <c r="D18" s="28"/>
      <c r="E18" s="28"/>
      <c r="F18" s="28"/>
      <c r="G18" s="28"/>
      <c r="H18" s="28"/>
      <c r="I18" s="28"/>
      <c r="J18" s="109">
        <v>42114</v>
      </c>
      <c r="K18" s="110">
        <v>0.15</v>
      </c>
      <c r="L18" s="110" t="s">
        <v>22</v>
      </c>
      <c r="M18" s="41"/>
      <c r="N18" s="41"/>
    </row>
    <row r="19" spans="1:14" ht="15.75">
      <c r="A19" s="44"/>
      <c r="B19" s="61"/>
      <c r="C19" s="62"/>
      <c r="D19" s="63"/>
      <c r="E19" s="28"/>
      <c r="F19" s="28"/>
      <c r="G19" s="28"/>
      <c r="H19" s="28"/>
      <c r="I19" s="28"/>
      <c r="J19" s="109">
        <v>42118</v>
      </c>
      <c r="K19" s="110">
        <v>400</v>
      </c>
      <c r="L19" s="179" t="s">
        <v>59</v>
      </c>
      <c r="M19" s="45"/>
      <c r="N19" s="45"/>
    </row>
    <row r="20" spans="1:14" ht="15.75">
      <c r="A20" s="44"/>
      <c r="B20" s="61"/>
      <c r="C20" s="62"/>
      <c r="D20" s="63"/>
      <c r="E20" s="28"/>
      <c r="F20" s="28"/>
      <c r="G20" s="28"/>
      <c r="H20" s="28"/>
      <c r="I20" s="28"/>
      <c r="J20" s="28"/>
      <c r="K20" s="28"/>
      <c r="L20" s="29"/>
      <c r="M20" s="45"/>
      <c r="N20" s="45"/>
    </row>
    <row r="21" spans="1:14" ht="21">
      <c r="A21" s="152" t="s">
        <v>19</v>
      </c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3"/>
      <c r="N21" s="154"/>
    </row>
    <row r="22" spans="1:14">
      <c r="A22" s="46" t="s">
        <v>1</v>
      </c>
      <c r="B22" s="39" t="s">
        <v>2</v>
      </c>
      <c r="C22" s="47" t="s">
        <v>3</v>
      </c>
      <c r="D22" s="48" t="s">
        <v>6</v>
      </c>
      <c r="E22" s="49"/>
      <c r="F22" s="39" t="s">
        <v>7</v>
      </c>
      <c r="G22" s="39" t="s">
        <v>9</v>
      </c>
      <c r="H22" s="39" t="s">
        <v>8</v>
      </c>
      <c r="I22" s="39"/>
      <c r="J22" s="39" t="s">
        <v>12</v>
      </c>
      <c r="K22" s="39" t="s">
        <v>11</v>
      </c>
      <c r="L22" s="39" t="s">
        <v>10</v>
      </c>
      <c r="M22" s="39"/>
      <c r="N22" s="39" t="s">
        <v>13</v>
      </c>
    </row>
    <row r="23" spans="1:14">
      <c r="A23" s="80">
        <v>42131</v>
      </c>
      <c r="B23" s="82">
        <v>575017</v>
      </c>
      <c r="C23" s="81" t="s">
        <v>14</v>
      </c>
      <c r="D23" s="83">
        <v>215.59</v>
      </c>
      <c r="E23" s="33"/>
      <c r="F23" s="125">
        <v>42143</v>
      </c>
      <c r="G23" s="126">
        <v>400</v>
      </c>
      <c r="H23" s="84">
        <v>180</v>
      </c>
      <c r="I23" s="32"/>
      <c r="J23" s="32"/>
      <c r="K23" s="33"/>
      <c r="L23" s="33"/>
      <c r="M23" s="33"/>
      <c r="N23" s="81">
        <v>35.590000000000003</v>
      </c>
    </row>
    <row r="24" spans="1:14">
      <c r="A24" s="31"/>
      <c r="B24" s="32"/>
      <c r="C24" s="33"/>
      <c r="D24" s="33"/>
      <c r="E24" s="33"/>
      <c r="F24" s="127"/>
      <c r="G24" s="128"/>
      <c r="H24" s="33"/>
      <c r="I24" s="32"/>
      <c r="J24" s="32"/>
      <c r="K24" s="33"/>
      <c r="L24" s="33"/>
      <c r="M24" s="33"/>
      <c r="N24" s="33"/>
    </row>
    <row r="25" spans="1:14">
      <c r="A25" s="80">
        <v>42125</v>
      </c>
      <c r="B25" s="82">
        <v>575018</v>
      </c>
      <c r="C25" s="81" t="s">
        <v>20</v>
      </c>
      <c r="D25" s="83">
        <v>384</v>
      </c>
      <c r="E25" s="33"/>
      <c r="F25" s="127"/>
      <c r="G25" s="128"/>
      <c r="H25" s="84">
        <v>100</v>
      </c>
      <c r="I25" s="32"/>
      <c r="J25" s="32"/>
      <c r="K25" s="33"/>
      <c r="L25" s="33"/>
      <c r="M25" s="33"/>
      <c r="N25" s="81">
        <v>284</v>
      </c>
    </row>
    <row r="26" spans="1:14">
      <c r="A26" s="31"/>
      <c r="B26" s="32"/>
      <c r="C26" s="46">
        <v>42240</v>
      </c>
      <c r="D26" s="33">
        <v>-260</v>
      </c>
      <c r="E26" s="33"/>
      <c r="F26" s="127"/>
      <c r="G26" s="128"/>
      <c r="H26" s="33"/>
      <c r="I26" s="32"/>
      <c r="J26" s="32"/>
      <c r="K26" s="33"/>
      <c r="L26" s="33"/>
      <c r="M26" s="205">
        <v>42240</v>
      </c>
      <c r="N26" s="81">
        <v>-260</v>
      </c>
    </row>
    <row r="27" spans="1:14">
      <c r="A27" s="31"/>
      <c r="B27" s="32"/>
      <c r="C27" s="33"/>
      <c r="D27" s="33"/>
      <c r="E27" s="33"/>
      <c r="F27" s="127"/>
      <c r="G27" s="128"/>
      <c r="H27" s="33"/>
      <c r="I27" s="32"/>
      <c r="J27" s="32"/>
      <c r="K27" s="33"/>
      <c r="L27" s="33"/>
      <c r="M27" s="217" t="s">
        <v>82</v>
      </c>
      <c r="N27" s="218"/>
    </row>
    <row r="28" spans="1:14">
      <c r="A28" s="31"/>
      <c r="B28" s="32"/>
      <c r="C28" s="33"/>
      <c r="D28" s="33"/>
      <c r="E28" s="33"/>
      <c r="F28" s="127"/>
      <c r="G28" s="128"/>
      <c r="H28" s="33"/>
      <c r="I28" s="32"/>
      <c r="J28" s="32"/>
      <c r="K28" s="33"/>
      <c r="L28" s="33"/>
      <c r="M28" s="33"/>
      <c r="N28" s="33"/>
    </row>
    <row r="29" spans="1:14">
      <c r="A29" s="94">
        <v>42139</v>
      </c>
      <c r="B29" s="86">
        <v>575020</v>
      </c>
      <c r="C29" s="107" t="s">
        <v>5</v>
      </c>
      <c r="D29" s="83">
        <v>100</v>
      </c>
      <c r="E29" s="54"/>
      <c r="F29" s="127"/>
      <c r="G29" s="128"/>
      <c r="H29" s="84">
        <v>100</v>
      </c>
      <c r="I29" s="32"/>
      <c r="J29" s="32"/>
      <c r="K29" s="33"/>
      <c r="L29" s="33"/>
      <c r="M29" s="33"/>
      <c r="N29" s="141">
        <v>0</v>
      </c>
    </row>
    <row r="30" spans="1:14">
      <c r="A30" s="31"/>
      <c r="B30" s="32"/>
      <c r="C30" s="52"/>
      <c r="D30" s="33"/>
      <c r="E30" s="32"/>
      <c r="F30" s="127"/>
      <c r="G30" s="128"/>
      <c r="H30" s="33"/>
      <c r="I30" s="32"/>
      <c r="J30" s="32"/>
      <c r="K30" s="33"/>
      <c r="L30" s="33"/>
      <c r="M30" s="33"/>
      <c r="N30" s="33"/>
    </row>
    <row r="31" spans="1:14">
      <c r="A31" s="94">
        <v>42142</v>
      </c>
      <c r="B31" s="131">
        <v>575021</v>
      </c>
      <c r="C31" s="107" t="s">
        <v>21</v>
      </c>
      <c r="D31" s="83">
        <v>20</v>
      </c>
      <c r="E31" s="54"/>
      <c r="F31" s="129"/>
      <c r="G31" s="130"/>
      <c r="H31" s="84">
        <v>20</v>
      </c>
      <c r="I31" s="32"/>
      <c r="J31" s="32"/>
      <c r="K31" s="33"/>
      <c r="L31" s="33"/>
      <c r="M31" s="33"/>
      <c r="N31" s="141">
        <v>0</v>
      </c>
    </row>
    <row r="32" spans="1:14">
      <c r="A32" s="31"/>
      <c r="B32" s="37"/>
      <c r="C32" s="33"/>
      <c r="D32" s="33"/>
      <c r="E32" s="32"/>
      <c r="F32" s="32"/>
      <c r="G32" s="33"/>
      <c r="H32" s="32"/>
      <c r="I32" s="32"/>
      <c r="J32" s="32"/>
      <c r="K32" s="33"/>
      <c r="L32" s="33"/>
      <c r="M32" s="33"/>
      <c r="N32" s="33"/>
    </row>
    <row r="33" spans="1:14">
      <c r="A33" s="31"/>
      <c r="B33" s="37"/>
      <c r="C33" s="33"/>
      <c r="D33" s="33"/>
      <c r="E33" s="32"/>
      <c r="F33" s="32"/>
      <c r="G33" s="33"/>
      <c r="H33" s="32"/>
      <c r="I33" s="32"/>
      <c r="J33" s="31"/>
      <c r="K33" s="33"/>
      <c r="L33" s="33"/>
      <c r="M33" s="33"/>
      <c r="N33" s="33"/>
    </row>
    <row r="34" spans="1:14">
      <c r="A34" s="31"/>
      <c r="B34" s="53"/>
      <c r="C34" s="56" t="s">
        <v>31</v>
      </c>
      <c r="D34" s="57">
        <f>SUM(D23:D31)</f>
        <v>459.59000000000003</v>
      </c>
      <c r="E34" s="51"/>
      <c r="F34" s="58" t="s">
        <v>32</v>
      </c>
      <c r="G34" s="56">
        <f>SUM(G23:G31)</f>
        <v>400</v>
      </c>
      <c r="H34" s="51"/>
      <c r="I34" s="51"/>
      <c r="J34" s="58" t="s">
        <v>33</v>
      </c>
      <c r="K34" s="56">
        <f>SUM(K30:K32)</f>
        <v>0</v>
      </c>
      <c r="L34" s="52"/>
      <c r="M34" s="33"/>
      <c r="N34" s="33"/>
    </row>
    <row r="35" spans="1:14" ht="17.25">
      <c r="A35" s="42"/>
      <c r="B35" s="114" t="s">
        <v>34</v>
      </c>
      <c r="C35" s="115"/>
      <c r="D35" s="116">
        <f>SUM(G34,K34)</f>
        <v>400</v>
      </c>
      <c r="E35" s="28"/>
      <c r="F35" s="28"/>
      <c r="G35" s="29"/>
      <c r="H35" s="28"/>
      <c r="I35" s="28"/>
      <c r="J35" s="28"/>
      <c r="K35" s="29"/>
      <c r="L35" s="29"/>
      <c r="M35" s="43"/>
      <c r="N35" s="43"/>
    </row>
    <row r="36" spans="1:14" ht="15.75">
      <c r="A36" s="44"/>
      <c r="B36" s="61" t="s">
        <v>35</v>
      </c>
      <c r="C36" s="62"/>
      <c r="D36" s="117">
        <f>SUM(D35-D34)</f>
        <v>-59.590000000000032</v>
      </c>
      <c r="E36" s="28"/>
      <c r="F36" s="28"/>
      <c r="G36" s="28"/>
      <c r="H36" s="28"/>
      <c r="I36" s="28"/>
      <c r="J36" s="28"/>
      <c r="K36" s="28"/>
      <c r="L36" s="29"/>
      <c r="M36" s="45"/>
      <c r="N36" s="45"/>
    </row>
    <row r="37" spans="1:14" ht="18.75">
      <c r="A37" s="40"/>
      <c r="B37" s="30"/>
      <c r="C37" s="29"/>
      <c r="D37" s="28"/>
      <c r="E37" s="28"/>
      <c r="F37" s="120" t="s">
        <v>52</v>
      </c>
      <c r="G37" s="121"/>
      <c r="H37" s="121"/>
      <c r="I37" s="121"/>
      <c r="J37" s="121"/>
      <c r="K37" s="121"/>
      <c r="L37" s="122"/>
      <c r="M37" s="41"/>
      <c r="N37" s="41"/>
    </row>
    <row r="38" spans="1:14">
      <c r="A38" s="40"/>
      <c r="B38" s="118"/>
      <c r="C38" s="119"/>
      <c r="D38" s="28"/>
      <c r="E38" s="28"/>
      <c r="F38" s="28"/>
      <c r="G38" s="28"/>
      <c r="H38" s="28"/>
      <c r="I38" s="28"/>
      <c r="J38" s="109">
        <v>42137</v>
      </c>
      <c r="K38" s="110">
        <v>100</v>
      </c>
      <c r="L38" s="110" t="s">
        <v>22</v>
      </c>
      <c r="M38" s="41"/>
      <c r="N38" s="41"/>
    </row>
    <row r="39" spans="1:14">
      <c r="A39" s="40"/>
      <c r="B39" s="118"/>
      <c r="C39" s="119"/>
      <c r="D39" s="28"/>
      <c r="E39" s="28"/>
      <c r="F39" s="28"/>
      <c r="G39" s="28"/>
      <c r="H39" s="28"/>
      <c r="I39" s="28"/>
      <c r="J39" s="109">
        <v>42137</v>
      </c>
      <c r="K39" s="110">
        <v>100</v>
      </c>
      <c r="L39" s="110" t="s">
        <v>22</v>
      </c>
      <c r="M39" s="41"/>
      <c r="N39" s="41"/>
    </row>
    <row r="40" spans="1:14" ht="15.75">
      <c r="A40" s="44"/>
      <c r="B40" s="61"/>
      <c r="C40" s="62"/>
      <c r="D40" s="63"/>
      <c r="E40" s="28"/>
      <c r="F40" s="28"/>
      <c r="G40" s="28"/>
      <c r="H40" s="28"/>
      <c r="I40" s="28"/>
      <c r="J40" s="28"/>
      <c r="K40" s="28"/>
      <c r="L40" s="29"/>
      <c r="M40" s="45"/>
      <c r="N40" s="45"/>
    </row>
    <row r="41" spans="1:14" ht="21">
      <c r="A41" s="155" t="s">
        <v>23</v>
      </c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7"/>
    </row>
    <row r="42" spans="1:14">
      <c r="A42" s="46" t="s">
        <v>1</v>
      </c>
      <c r="B42" s="39" t="s">
        <v>2</v>
      </c>
      <c r="C42" s="47" t="s">
        <v>3</v>
      </c>
      <c r="D42" s="48" t="s">
        <v>6</v>
      </c>
      <c r="E42" s="49"/>
      <c r="F42" s="39" t="s">
        <v>7</v>
      </c>
      <c r="G42" s="39" t="s">
        <v>9</v>
      </c>
      <c r="H42" s="39" t="s">
        <v>8</v>
      </c>
      <c r="I42" s="39"/>
      <c r="J42" s="39" t="s">
        <v>12</v>
      </c>
      <c r="K42" s="39" t="s">
        <v>11</v>
      </c>
      <c r="L42" s="39" t="s">
        <v>10</v>
      </c>
      <c r="M42" s="39"/>
      <c r="N42" s="39" t="s">
        <v>13</v>
      </c>
    </row>
    <row r="43" spans="1:14">
      <c r="A43" s="105">
        <v>42157</v>
      </c>
      <c r="B43" s="106" t="s">
        <v>4</v>
      </c>
      <c r="C43" s="107" t="s">
        <v>24</v>
      </c>
      <c r="D43" s="104">
        <v>900</v>
      </c>
      <c r="E43" s="54"/>
      <c r="F43" s="134">
        <v>42164</v>
      </c>
      <c r="G43" s="194">
        <v>700</v>
      </c>
      <c r="H43" s="99">
        <v>600</v>
      </c>
      <c r="I43" s="149" t="s">
        <v>83</v>
      </c>
      <c r="J43" s="31"/>
      <c r="K43" s="33"/>
      <c r="L43" s="33"/>
      <c r="M43" s="145"/>
      <c r="N43" s="141">
        <v>0</v>
      </c>
    </row>
    <row r="44" spans="1:14">
      <c r="A44" s="50"/>
      <c r="B44" s="51"/>
      <c r="C44" s="52"/>
      <c r="D44" s="52"/>
      <c r="E44" s="54"/>
      <c r="F44" s="208"/>
      <c r="G44" s="209"/>
      <c r="H44" s="33"/>
      <c r="I44" s="32"/>
      <c r="J44" s="32"/>
      <c r="K44" s="33"/>
      <c r="L44" s="33"/>
      <c r="M44" s="33"/>
      <c r="N44" s="142"/>
    </row>
    <row r="45" spans="1:14">
      <c r="A45" s="103">
        <v>42163</v>
      </c>
      <c r="B45" s="102" t="s">
        <v>4</v>
      </c>
      <c r="C45" s="101" t="s">
        <v>26</v>
      </c>
      <c r="D45" s="104">
        <v>478.5</v>
      </c>
      <c r="E45" s="51"/>
      <c r="F45" s="208"/>
      <c r="G45" s="209"/>
      <c r="H45" s="210">
        <v>100</v>
      </c>
      <c r="I45" s="207"/>
      <c r="J45" s="32"/>
      <c r="K45" s="33"/>
      <c r="L45" s="33"/>
      <c r="M45" s="33"/>
      <c r="N45" s="206">
        <v>378.5</v>
      </c>
    </row>
    <row r="46" spans="1:14">
      <c r="A46" s="50"/>
      <c r="B46" s="51"/>
      <c r="C46" s="52"/>
      <c r="D46" s="52"/>
      <c r="E46" s="51"/>
      <c r="F46" s="51"/>
      <c r="G46" s="33"/>
      <c r="H46" s="33"/>
      <c r="I46" s="32"/>
      <c r="J46" s="32"/>
      <c r="K46" s="33"/>
      <c r="L46" s="33"/>
      <c r="M46" s="33"/>
      <c r="N46" s="33"/>
    </row>
    <row r="47" spans="1:14">
      <c r="A47" s="105">
        <v>42159</v>
      </c>
      <c r="B47" s="106">
        <v>575022</v>
      </c>
      <c r="C47" s="107" t="s">
        <v>25</v>
      </c>
      <c r="D47" s="104">
        <v>370</v>
      </c>
      <c r="E47" s="54"/>
      <c r="F47" s="51"/>
      <c r="G47" s="33"/>
      <c r="H47" s="33"/>
      <c r="I47" s="32"/>
      <c r="J47" s="132">
        <v>42165</v>
      </c>
      <c r="K47" s="99">
        <v>240</v>
      </c>
      <c r="L47" s="99">
        <v>240</v>
      </c>
      <c r="M47" s="147" t="s">
        <v>50</v>
      </c>
      <c r="N47" s="141">
        <v>0</v>
      </c>
    </row>
    <row r="48" spans="1:14">
      <c r="A48" s="50"/>
      <c r="B48" s="51"/>
      <c r="C48" s="52"/>
      <c r="D48" s="51"/>
      <c r="E48" s="51"/>
      <c r="F48" s="51"/>
      <c r="G48" s="33"/>
      <c r="H48" s="33"/>
      <c r="I48" s="32"/>
      <c r="J48" s="32"/>
      <c r="K48" s="33"/>
      <c r="L48" s="33"/>
      <c r="M48" s="33"/>
      <c r="N48" s="33"/>
    </row>
    <row r="49" spans="1:14">
      <c r="A49" s="105">
        <v>42165</v>
      </c>
      <c r="B49" s="106" t="s">
        <v>4</v>
      </c>
      <c r="C49" s="107" t="s">
        <v>27</v>
      </c>
      <c r="D49" s="104">
        <v>524</v>
      </c>
      <c r="E49" s="51"/>
      <c r="F49" s="51"/>
      <c r="G49" s="33"/>
      <c r="H49" s="33"/>
      <c r="I49" s="32"/>
      <c r="J49" s="95">
        <v>42174</v>
      </c>
      <c r="K49" s="194">
        <v>700</v>
      </c>
      <c r="L49" s="99">
        <v>200</v>
      </c>
      <c r="M49" s="146" t="s">
        <v>49</v>
      </c>
      <c r="N49" s="141">
        <v>0</v>
      </c>
    </row>
    <row r="50" spans="1:14">
      <c r="A50" s="50"/>
      <c r="B50" s="51"/>
      <c r="C50" s="52"/>
      <c r="D50" s="52"/>
      <c r="E50" s="51"/>
      <c r="F50" s="51"/>
      <c r="G50" s="33"/>
      <c r="H50" s="33"/>
      <c r="I50" s="32"/>
      <c r="J50" s="97"/>
      <c r="K50" s="209"/>
      <c r="L50" s="33"/>
      <c r="M50" s="33"/>
      <c r="N50" s="33"/>
    </row>
    <row r="51" spans="1:14">
      <c r="A51" s="105">
        <v>42167</v>
      </c>
      <c r="B51" s="106" t="s">
        <v>4</v>
      </c>
      <c r="C51" s="107" t="s">
        <v>28</v>
      </c>
      <c r="D51" s="104">
        <v>440</v>
      </c>
      <c r="E51" s="51"/>
      <c r="F51" s="135">
        <v>42172</v>
      </c>
      <c r="G51" s="136">
        <v>806</v>
      </c>
      <c r="H51" s="107">
        <v>340</v>
      </c>
      <c r="I51" s="51"/>
      <c r="J51" s="97"/>
      <c r="K51" s="209"/>
      <c r="L51" s="107">
        <v>100</v>
      </c>
      <c r="M51" s="52"/>
      <c r="N51" s="141">
        <v>0</v>
      </c>
    </row>
    <row r="52" spans="1:14">
      <c r="A52" s="31"/>
      <c r="B52" s="37"/>
      <c r="C52" s="33"/>
      <c r="D52" s="33"/>
      <c r="E52" s="32"/>
      <c r="F52" s="137"/>
      <c r="G52" s="138"/>
      <c r="H52" s="33"/>
      <c r="I52" s="32"/>
      <c r="J52" s="97"/>
      <c r="K52" s="209"/>
      <c r="L52" s="33"/>
      <c r="M52" s="33"/>
      <c r="N52" s="33"/>
    </row>
    <row r="53" spans="1:14">
      <c r="A53" s="94">
        <v>42172</v>
      </c>
      <c r="B53" s="86" t="s">
        <v>4</v>
      </c>
      <c r="C53" s="107" t="s">
        <v>29</v>
      </c>
      <c r="D53" s="83">
        <v>866</v>
      </c>
      <c r="E53" s="54"/>
      <c r="F53" s="139"/>
      <c r="G53" s="140"/>
      <c r="H53" s="84">
        <v>466</v>
      </c>
      <c r="I53" s="32"/>
      <c r="J53" s="98"/>
      <c r="K53" s="195"/>
      <c r="L53" s="84">
        <v>400</v>
      </c>
      <c r="M53" s="33"/>
      <c r="N53" s="141">
        <v>0</v>
      </c>
    </row>
    <row r="54" spans="1:14">
      <c r="A54" s="31"/>
      <c r="B54" s="55"/>
      <c r="C54" s="33"/>
      <c r="D54" s="33"/>
      <c r="E54" s="32"/>
      <c r="F54" s="32"/>
      <c r="G54" s="33"/>
      <c r="H54" s="32"/>
      <c r="I54" s="32"/>
      <c r="J54" s="32"/>
      <c r="K54" s="33"/>
      <c r="L54" s="33"/>
      <c r="M54" s="33"/>
      <c r="N54" s="33"/>
    </row>
    <row r="55" spans="1:14">
      <c r="A55" s="31"/>
      <c r="B55" s="37"/>
      <c r="C55" s="33"/>
      <c r="D55" s="33"/>
      <c r="E55" s="32"/>
      <c r="F55" s="31"/>
      <c r="G55" s="33"/>
      <c r="H55" s="32"/>
      <c r="I55" s="32"/>
      <c r="J55" s="32"/>
      <c r="K55" s="33"/>
      <c r="L55" s="33"/>
      <c r="M55" s="33"/>
      <c r="N55" s="33"/>
    </row>
    <row r="56" spans="1:14">
      <c r="A56" s="50"/>
      <c r="B56" s="53"/>
      <c r="C56" s="56" t="s">
        <v>31</v>
      </c>
      <c r="D56" s="57">
        <f>SUM(D43:D53)</f>
        <v>3578.5</v>
      </c>
      <c r="E56" s="51"/>
      <c r="F56" s="58" t="s">
        <v>32</v>
      </c>
      <c r="G56" s="56">
        <f>SUM(G43:G53)</f>
        <v>1506</v>
      </c>
      <c r="H56" s="51"/>
      <c r="I56" s="51"/>
      <c r="J56" s="58" t="s">
        <v>33</v>
      </c>
      <c r="K56" s="56">
        <f>SUM(K43:K53)</f>
        <v>940</v>
      </c>
      <c r="L56" s="52"/>
      <c r="M56" s="52"/>
      <c r="N56" s="51"/>
    </row>
    <row r="57" spans="1:14" ht="17.25">
      <c r="A57" s="27"/>
      <c r="B57" s="114" t="s">
        <v>34</v>
      </c>
      <c r="C57" s="115"/>
      <c r="D57" s="116">
        <f>SUM(G56,K56)</f>
        <v>2446</v>
      </c>
      <c r="E57" s="28"/>
      <c r="F57" s="28"/>
      <c r="G57" s="29"/>
      <c r="H57" s="28"/>
      <c r="I57" s="28"/>
      <c r="J57" s="28"/>
      <c r="K57" s="29"/>
      <c r="L57" s="29"/>
      <c r="M57" s="29"/>
      <c r="N57" s="28"/>
    </row>
    <row r="58" spans="1:14" ht="15.75">
      <c r="A58" s="27"/>
      <c r="B58" s="61" t="s">
        <v>35</v>
      </c>
      <c r="C58" s="62"/>
      <c r="D58" s="117">
        <f>SUM(D57-D56)</f>
        <v>-1132.5</v>
      </c>
      <c r="E58" s="28"/>
      <c r="F58" s="28"/>
      <c r="G58" s="28"/>
      <c r="H58" s="28"/>
      <c r="I58" s="28"/>
      <c r="J58" s="28"/>
      <c r="K58" s="28"/>
      <c r="L58" s="29"/>
      <c r="M58" s="29"/>
      <c r="N58" s="28"/>
    </row>
    <row r="59" spans="1:14" ht="18.75">
      <c r="A59" s="40"/>
      <c r="B59" s="30"/>
      <c r="C59" s="29"/>
      <c r="D59" s="28"/>
      <c r="E59" s="28"/>
      <c r="F59" s="120" t="s">
        <v>52</v>
      </c>
      <c r="G59" s="121"/>
      <c r="H59" s="121"/>
      <c r="I59" s="121"/>
      <c r="J59" s="121"/>
      <c r="K59" s="121"/>
      <c r="L59" s="122"/>
      <c r="M59" s="41"/>
      <c r="N59" s="41"/>
    </row>
    <row r="60" spans="1:14">
      <c r="A60" s="40"/>
      <c r="B60" s="118"/>
      <c r="C60" s="119"/>
      <c r="D60" s="28"/>
      <c r="E60" s="28"/>
      <c r="F60" s="28"/>
      <c r="G60" s="28"/>
      <c r="H60" s="28"/>
      <c r="I60" s="28"/>
      <c r="J60" s="109">
        <v>42157</v>
      </c>
      <c r="K60" s="110">
        <v>223.12</v>
      </c>
      <c r="L60" s="110" t="s">
        <v>22</v>
      </c>
      <c r="M60" s="41"/>
      <c r="N60" s="41"/>
    </row>
    <row r="61" spans="1:14">
      <c r="A61" s="40"/>
      <c r="B61" s="118"/>
      <c r="C61" s="119"/>
      <c r="D61" s="28"/>
      <c r="E61" s="28"/>
      <c r="F61" s="28"/>
      <c r="G61" s="28"/>
      <c r="H61" s="28"/>
      <c r="I61" s="28"/>
      <c r="J61" s="109">
        <v>42171</v>
      </c>
      <c r="K61" s="110">
        <v>200</v>
      </c>
      <c r="L61" s="110" t="s">
        <v>22</v>
      </c>
      <c r="M61" s="41"/>
      <c r="N61" s="41"/>
    </row>
    <row r="62" spans="1:14" ht="15.75">
      <c r="A62" s="44"/>
      <c r="B62" s="61"/>
      <c r="C62" s="62"/>
      <c r="D62" s="63"/>
      <c r="E62" s="28"/>
      <c r="F62" s="28"/>
      <c r="G62" s="28"/>
      <c r="H62" s="28"/>
      <c r="I62" s="28"/>
      <c r="J62" s="28"/>
      <c r="K62" s="28"/>
      <c r="L62" s="29"/>
      <c r="M62" s="45"/>
      <c r="N62" s="45"/>
    </row>
    <row r="63" spans="1:14" ht="21">
      <c r="A63" s="155" t="s">
        <v>36</v>
      </c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7"/>
    </row>
    <row r="64" spans="1:14">
      <c r="A64" s="46" t="s">
        <v>1</v>
      </c>
      <c r="B64" s="39" t="s">
        <v>2</v>
      </c>
      <c r="C64" s="47" t="s">
        <v>3</v>
      </c>
      <c r="D64" s="48" t="s">
        <v>6</v>
      </c>
      <c r="E64" s="49"/>
      <c r="F64" s="39" t="s">
        <v>7</v>
      </c>
      <c r="G64" s="39" t="s">
        <v>9</v>
      </c>
      <c r="H64" s="39" t="s">
        <v>8</v>
      </c>
      <c r="I64" s="39"/>
      <c r="J64" s="39" t="s">
        <v>12</v>
      </c>
      <c r="K64" s="39" t="s">
        <v>11</v>
      </c>
      <c r="L64" s="39" t="s">
        <v>10</v>
      </c>
      <c r="M64" s="39"/>
      <c r="N64" s="39" t="s">
        <v>13</v>
      </c>
    </row>
    <row r="65" spans="1:14">
      <c r="A65" s="94">
        <v>42191</v>
      </c>
      <c r="B65" s="131" t="s">
        <v>4</v>
      </c>
      <c r="C65" s="107" t="s">
        <v>37</v>
      </c>
      <c r="D65" s="83">
        <v>860</v>
      </c>
      <c r="E65" s="54"/>
      <c r="F65" s="125">
        <v>42199</v>
      </c>
      <c r="G65" s="136">
        <v>1060</v>
      </c>
      <c r="H65" s="107">
        <v>860</v>
      </c>
      <c r="I65" s="32"/>
      <c r="J65" s="32"/>
      <c r="K65" s="33"/>
      <c r="L65" s="33"/>
      <c r="M65" s="33"/>
      <c r="N65" s="141">
        <v>0</v>
      </c>
    </row>
    <row r="66" spans="1:14">
      <c r="A66" s="32"/>
      <c r="B66" s="37"/>
      <c r="C66" s="52"/>
      <c r="D66" s="33"/>
      <c r="E66" s="32"/>
      <c r="F66" s="143"/>
      <c r="G66" s="138"/>
      <c r="H66" s="51"/>
      <c r="I66" s="32"/>
      <c r="J66" s="32"/>
      <c r="K66" s="33"/>
      <c r="L66" s="33"/>
      <c r="M66" s="33"/>
      <c r="N66" s="33"/>
    </row>
    <row r="67" spans="1:14">
      <c r="A67" s="94">
        <v>42192</v>
      </c>
      <c r="B67" s="202" t="s">
        <v>79</v>
      </c>
      <c r="C67" s="107" t="s">
        <v>38</v>
      </c>
      <c r="D67" s="83">
        <v>250</v>
      </c>
      <c r="E67" s="54"/>
      <c r="F67" s="144"/>
      <c r="G67" s="140"/>
      <c r="H67" s="96">
        <v>200</v>
      </c>
      <c r="I67" s="108" t="s">
        <v>39</v>
      </c>
      <c r="J67" s="32"/>
      <c r="K67" s="33"/>
      <c r="L67" s="33"/>
      <c r="M67" s="33"/>
      <c r="N67" s="141">
        <v>0</v>
      </c>
    </row>
    <row r="68" spans="1:14">
      <c r="A68" s="31"/>
      <c r="B68" s="37"/>
      <c r="C68" s="52"/>
      <c r="D68" s="33"/>
      <c r="E68" s="32"/>
      <c r="F68" s="32"/>
      <c r="G68" s="33"/>
      <c r="H68" s="32"/>
      <c r="I68" s="32"/>
      <c r="J68" s="32"/>
      <c r="K68" s="33"/>
      <c r="L68" s="33"/>
      <c r="M68" s="33"/>
      <c r="N68" s="33"/>
    </row>
    <row r="69" spans="1:14">
      <c r="A69" s="94">
        <v>42203</v>
      </c>
      <c r="B69" s="131" t="s">
        <v>4</v>
      </c>
      <c r="C69" s="107" t="s">
        <v>40</v>
      </c>
      <c r="D69" s="83">
        <v>860</v>
      </c>
      <c r="E69" s="69"/>
      <c r="F69" s="100">
        <v>42205</v>
      </c>
      <c r="G69" s="99">
        <v>460</v>
      </c>
      <c r="H69" s="96">
        <v>460</v>
      </c>
      <c r="I69" s="108" t="s">
        <v>51</v>
      </c>
      <c r="J69" s="65"/>
      <c r="K69" s="64"/>
      <c r="L69" s="65"/>
      <c r="M69" s="65"/>
      <c r="N69" s="141">
        <v>0</v>
      </c>
    </row>
    <row r="70" spans="1:14">
      <c r="A70" s="31"/>
      <c r="B70" s="37"/>
      <c r="C70" s="52"/>
      <c r="D70" s="33"/>
      <c r="E70" s="67"/>
      <c r="F70" s="50"/>
      <c r="G70" s="33"/>
      <c r="H70" s="52"/>
      <c r="I70" s="51"/>
      <c r="J70" s="32"/>
      <c r="K70" s="33"/>
      <c r="L70" s="32"/>
      <c r="M70" s="32"/>
      <c r="N70" s="142"/>
    </row>
    <row r="71" spans="1:14" ht="15.75">
      <c r="A71" s="169" t="s">
        <v>64</v>
      </c>
      <c r="B71" s="167">
        <v>42100</v>
      </c>
      <c r="C71" s="81" t="s">
        <v>55</v>
      </c>
      <c r="D71" s="83">
        <v>60</v>
      </c>
      <c r="E71" s="67"/>
      <c r="F71" s="50"/>
      <c r="G71" s="33"/>
      <c r="H71" s="52"/>
      <c r="I71" s="51"/>
      <c r="J71" s="32"/>
      <c r="K71" s="33"/>
      <c r="L71" s="32"/>
      <c r="M71" s="32"/>
      <c r="N71" s="142"/>
    </row>
    <row r="72" spans="1:14">
      <c r="A72" s="23"/>
      <c r="B72" s="37"/>
      <c r="C72" s="33"/>
      <c r="D72" s="33"/>
      <c r="E72" s="32"/>
      <c r="F72" s="32"/>
      <c r="G72" s="33"/>
      <c r="H72" s="32"/>
      <c r="I72" s="32"/>
      <c r="J72" s="32"/>
      <c r="K72" s="33"/>
      <c r="L72" s="32"/>
      <c r="M72" s="32"/>
      <c r="N72" s="33"/>
    </row>
    <row r="73" spans="1:14">
      <c r="A73" s="50"/>
      <c r="B73" s="53"/>
      <c r="C73" s="56" t="s">
        <v>31</v>
      </c>
      <c r="D73" s="57">
        <f>SUM(D65:D71)</f>
        <v>2030</v>
      </c>
      <c r="E73" s="51"/>
      <c r="F73" s="58" t="s">
        <v>32</v>
      </c>
      <c r="G73" s="56">
        <f>SUM(G65:G69)</f>
        <v>1520</v>
      </c>
      <c r="H73" s="51"/>
      <c r="I73" s="51"/>
      <c r="J73" s="58" t="s">
        <v>33</v>
      </c>
      <c r="K73" s="56">
        <f>SUM(K67:K69)</f>
        <v>0</v>
      </c>
      <c r="L73" s="52"/>
      <c r="M73" s="52"/>
      <c r="N73" s="51"/>
    </row>
    <row r="74" spans="1:14">
      <c r="A74" s="27"/>
      <c r="B74" s="59" t="s">
        <v>34</v>
      </c>
      <c r="C74" s="60"/>
      <c r="D74" s="133">
        <f>SUM(G73,K73)</f>
        <v>1520</v>
      </c>
      <c r="E74" s="28"/>
      <c r="F74" s="28"/>
      <c r="G74" s="29"/>
      <c r="H74" s="28"/>
      <c r="I74" s="28"/>
      <c r="J74" s="28"/>
      <c r="K74" s="29"/>
      <c r="L74" s="29"/>
      <c r="M74" s="29"/>
      <c r="N74" s="28"/>
    </row>
    <row r="75" spans="1:14" ht="15.75">
      <c r="A75" s="27"/>
      <c r="B75" s="61" t="s">
        <v>35</v>
      </c>
      <c r="C75" s="62"/>
      <c r="D75" s="117">
        <f>SUM(D74-D73)</f>
        <v>-510</v>
      </c>
      <c r="E75" s="28"/>
      <c r="F75" s="28"/>
      <c r="G75" s="28"/>
      <c r="H75" s="28"/>
      <c r="I75" s="28"/>
      <c r="J75" s="28"/>
      <c r="K75" s="28"/>
      <c r="L75" s="29"/>
      <c r="M75" s="29"/>
      <c r="N75" s="28"/>
    </row>
    <row r="76" spans="1:14">
      <c r="A76" s="3"/>
      <c r="B76" s="68"/>
      <c r="C76" s="64"/>
      <c r="D76" s="64"/>
      <c r="E76" s="65"/>
      <c r="F76" s="65"/>
      <c r="G76" s="64"/>
      <c r="H76" s="65"/>
      <c r="I76" s="65"/>
      <c r="J76" s="65"/>
      <c r="K76" s="64"/>
      <c r="L76" s="65"/>
      <c r="M76" s="65"/>
      <c r="N76" s="64"/>
    </row>
    <row r="77" spans="1:14">
      <c r="A77" s="159" t="s">
        <v>42</v>
      </c>
      <c r="B77" s="160"/>
      <c r="C77" s="160"/>
      <c r="D77" s="160"/>
      <c r="E77" s="160"/>
      <c r="F77" s="160"/>
      <c r="G77" s="161"/>
      <c r="H77" s="65"/>
      <c r="I77" s="65"/>
      <c r="J77" s="65"/>
      <c r="K77" s="64"/>
      <c r="L77" s="65"/>
      <c r="M77" s="65"/>
      <c r="N77" s="64"/>
    </row>
    <row r="78" spans="1:14" ht="18.75">
      <c r="A78" s="40"/>
      <c r="B78" s="30"/>
      <c r="C78" s="29"/>
      <c r="D78" s="28"/>
      <c r="E78" s="28"/>
      <c r="F78" s="120" t="s">
        <v>52</v>
      </c>
      <c r="G78" s="121"/>
      <c r="H78" s="121"/>
      <c r="I78" s="121"/>
      <c r="J78" s="121"/>
      <c r="K78" s="121"/>
      <c r="L78" s="122"/>
      <c r="M78" s="41"/>
      <c r="N78" s="41"/>
    </row>
    <row r="79" spans="1:14">
      <c r="A79" s="40"/>
      <c r="B79" s="118"/>
      <c r="C79" s="119"/>
      <c r="D79" s="28"/>
      <c r="E79" s="28"/>
      <c r="F79" s="164">
        <v>42206</v>
      </c>
      <c r="G79" s="163">
        <v>1176.68</v>
      </c>
      <c r="H79" s="162" t="s">
        <v>53</v>
      </c>
      <c r="I79" s="28"/>
      <c r="J79" s="109">
        <v>42195</v>
      </c>
      <c r="K79" s="110">
        <v>350</v>
      </c>
      <c r="L79" s="110" t="s">
        <v>22</v>
      </c>
      <c r="M79" s="41"/>
      <c r="N79" s="41"/>
    </row>
    <row r="80" spans="1:14">
      <c r="A80" s="40"/>
      <c r="B80" s="118"/>
      <c r="C80" s="119"/>
      <c r="D80" s="28"/>
      <c r="E80" s="28"/>
      <c r="F80" s="28"/>
      <c r="G80" s="28"/>
      <c r="H80" s="28"/>
      <c r="I80" s="28"/>
      <c r="J80" s="109">
        <v>42199</v>
      </c>
      <c r="K80" s="110">
        <v>400</v>
      </c>
      <c r="L80" s="165" t="s">
        <v>54</v>
      </c>
      <c r="M80" s="166"/>
      <c r="N80" s="41"/>
    </row>
    <row r="81" spans="1:14">
      <c r="A81" s="40"/>
      <c r="B81" s="118"/>
      <c r="C81" s="119"/>
      <c r="D81" s="28"/>
      <c r="E81" s="28"/>
      <c r="F81" s="28"/>
      <c r="G81" s="28"/>
      <c r="H81" s="28"/>
      <c r="I81" s="28"/>
      <c r="J81" s="111" t="s">
        <v>58</v>
      </c>
      <c r="K81" s="112"/>
      <c r="L81" s="113"/>
      <c r="M81" s="158"/>
      <c r="N81" s="41"/>
    </row>
    <row r="82" spans="1:14" ht="15.75">
      <c r="A82" s="44"/>
      <c r="B82" s="61"/>
      <c r="C82" s="62"/>
      <c r="D82" s="63"/>
      <c r="E82" s="28"/>
      <c r="F82" s="28"/>
      <c r="G82" s="28"/>
      <c r="H82" s="28"/>
      <c r="I82" s="28"/>
      <c r="J82" s="28"/>
      <c r="K82" s="28"/>
      <c r="L82" s="29"/>
      <c r="M82" s="45"/>
      <c r="N82" s="45"/>
    </row>
    <row r="83" spans="1:14" ht="21">
      <c r="A83" s="155" t="s">
        <v>43</v>
      </c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7"/>
    </row>
    <row r="84" spans="1:14">
      <c r="A84" s="46" t="s">
        <v>1</v>
      </c>
      <c r="B84" s="39" t="s">
        <v>2</v>
      </c>
      <c r="C84" s="47" t="s">
        <v>3</v>
      </c>
      <c r="D84" s="48" t="s">
        <v>6</v>
      </c>
      <c r="E84" s="49"/>
      <c r="F84" s="39" t="s">
        <v>7</v>
      </c>
      <c r="G84" s="39" t="s">
        <v>9</v>
      </c>
      <c r="H84" s="39" t="s">
        <v>8</v>
      </c>
      <c r="I84" s="39"/>
      <c r="J84" s="39" t="s">
        <v>12</v>
      </c>
      <c r="K84" s="39" t="s">
        <v>11</v>
      </c>
      <c r="L84" s="39" t="s">
        <v>10</v>
      </c>
      <c r="M84" s="39"/>
      <c r="N84" s="39" t="s">
        <v>13</v>
      </c>
    </row>
    <row r="85" spans="1:14">
      <c r="A85" s="200" t="s">
        <v>76</v>
      </c>
      <c r="B85" s="86" t="s">
        <v>18</v>
      </c>
      <c r="C85" s="172" t="s">
        <v>46</v>
      </c>
      <c r="D85" s="83">
        <v>500</v>
      </c>
      <c r="E85" s="69"/>
      <c r="F85" s="85">
        <v>42226</v>
      </c>
      <c r="G85" s="84">
        <v>500</v>
      </c>
      <c r="H85" s="86" t="s">
        <v>48</v>
      </c>
      <c r="I85" s="32"/>
      <c r="J85" s="37"/>
      <c r="K85" s="37"/>
      <c r="L85" s="37"/>
      <c r="M85" s="37"/>
      <c r="N85" s="141">
        <v>0</v>
      </c>
    </row>
    <row r="86" spans="1:14">
      <c r="A86" s="75"/>
      <c r="B86" s="76"/>
      <c r="C86" s="77"/>
      <c r="D86" s="79"/>
      <c r="E86" s="78"/>
      <c r="F86" s="76"/>
      <c r="G86" s="76"/>
      <c r="H86" s="76"/>
      <c r="I86" s="76"/>
      <c r="J86" s="76"/>
      <c r="K86" s="76"/>
      <c r="L86" s="76"/>
      <c r="M86" s="76"/>
      <c r="N86" s="76"/>
    </row>
    <row r="87" spans="1:14">
      <c r="A87" s="94">
        <v>42226</v>
      </c>
      <c r="B87" s="86" t="s">
        <v>4</v>
      </c>
      <c r="C87" s="84" t="s">
        <v>44</v>
      </c>
      <c r="D87" s="83">
        <v>850</v>
      </c>
      <c r="E87" s="69"/>
      <c r="F87" s="31"/>
      <c r="G87" s="33"/>
      <c r="H87" s="32"/>
      <c r="I87" s="65"/>
      <c r="J87" s="94">
        <v>42228</v>
      </c>
      <c r="K87" s="84">
        <v>850</v>
      </c>
      <c r="L87" s="86" t="s">
        <v>45</v>
      </c>
      <c r="M87" s="65"/>
      <c r="N87" s="141">
        <v>0</v>
      </c>
    </row>
    <row r="88" spans="1:14">
      <c r="A88" s="66"/>
      <c r="B88" s="68"/>
      <c r="C88" s="64"/>
      <c r="D88" s="64"/>
      <c r="E88" s="65"/>
      <c r="F88" s="65"/>
      <c r="G88" s="64"/>
      <c r="H88" s="65"/>
      <c r="I88" s="65"/>
      <c r="J88" s="65"/>
      <c r="K88" s="64"/>
      <c r="L88" s="65"/>
      <c r="M88" s="65"/>
      <c r="N88" s="64"/>
    </row>
    <row r="89" spans="1:14">
      <c r="A89" s="94">
        <v>42228</v>
      </c>
      <c r="B89" s="86" t="s">
        <v>4</v>
      </c>
      <c r="C89" s="84" t="s">
        <v>47</v>
      </c>
      <c r="D89" s="83">
        <v>8.25</v>
      </c>
      <c r="E89" s="69"/>
      <c r="F89" s="125">
        <v>42233</v>
      </c>
      <c r="G89" s="126">
        <v>691.25</v>
      </c>
      <c r="H89" s="84">
        <v>8.25</v>
      </c>
      <c r="I89" s="65"/>
      <c r="J89" s="65"/>
      <c r="K89" s="64"/>
      <c r="L89" s="65"/>
      <c r="M89" s="65"/>
      <c r="N89" s="141">
        <v>0</v>
      </c>
    </row>
    <row r="90" spans="1:14">
      <c r="A90" s="66"/>
      <c r="B90" s="65"/>
      <c r="C90" s="64"/>
      <c r="D90" s="64"/>
      <c r="E90" s="65"/>
      <c r="F90" s="143"/>
      <c r="G90" s="128"/>
      <c r="H90" s="33"/>
      <c r="I90" s="65"/>
      <c r="J90" s="65"/>
      <c r="K90" s="64"/>
      <c r="L90" s="65"/>
      <c r="M90" s="65"/>
      <c r="N90" s="64"/>
    </row>
    <row r="91" spans="1:14">
      <c r="A91" s="94">
        <v>42228</v>
      </c>
      <c r="B91" s="86" t="s">
        <v>4</v>
      </c>
      <c r="C91" s="84" t="s">
        <v>37</v>
      </c>
      <c r="D91" s="83">
        <v>44</v>
      </c>
      <c r="E91" s="69"/>
      <c r="F91" s="143"/>
      <c r="G91" s="128"/>
      <c r="H91" s="84">
        <v>44</v>
      </c>
      <c r="I91" s="65"/>
      <c r="J91" s="65"/>
      <c r="K91" s="64"/>
      <c r="L91" s="65"/>
      <c r="M91" s="65"/>
      <c r="N91" s="141">
        <v>0</v>
      </c>
    </row>
    <row r="92" spans="1:14">
      <c r="A92" s="66"/>
      <c r="B92" s="65"/>
      <c r="C92" s="64"/>
      <c r="D92" s="64"/>
      <c r="E92" s="65"/>
      <c r="F92" s="143"/>
      <c r="G92" s="128"/>
      <c r="H92" s="33"/>
      <c r="I92" s="65"/>
      <c r="J92" s="65"/>
      <c r="K92" s="64"/>
      <c r="L92" s="65"/>
      <c r="M92" s="65"/>
      <c r="N92" s="64"/>
    </row>
    <row r="93" spans="1:14" ht="15.75">
      <c r="A93" s="169" t="s">
        <v>64</v>
      </c>
      <c r="B93" s="167">
        <v>42100</v>
      </c>
      <c r="C93" s="81" t="s">
        <v>55</v>
      </c>
      <c r="D93" s="83">
        <v>100</v>
      </c>
      <c r="E93" s="65"/>
      <c r="F93" s="143"/>
      <c r="G93" s="128"/>
      <c r="H93" s="84">
        <v>100</v>
      </c>
      <c r="I93" s="65"/>
      <c r="J93" s="65"/>
      <c r="K93" s="64"/>
      <c r="L93" s="65"/>
      <c r="M93" s="65"/>
      <c r="N93" s="170" t="s">
        <v>56</v>
      </c>
    </row>
    <row r="94" spans="1:14">
      <c r="A94" s="66"/>
      <c r="B94" s="65"/>
      <c r="C94" s="64"/>
      <c r="D94" s="64"/>
      <c r="E94" s="65"/>
      <c r="F94" s="143"/>
      <c r="G94" s="128"/>
      <c r="H94" s="211"/>
      <c r="I94" s="65"/>
      <c r="J94" s="65"/>
      <c r="K94" s="64"/>
      <c r="L94" s="65"/>
      <c r="M94" s="65"/>
      <c r="N94" s="64"/>
    </row>
    <row r="95" spans="1:14">
      <c r="A95" s="200" t="s">
        <v>76</v>
      </c>
      <c r="B95" s="86" t="s">
        <v>30</v>
      </c>
      <c r="C95" s="172" t="s">
        <v>46</v>
      </c>
      <c r="D95" s="83">
        <v>539</v>
      </c>
      <c r="E95" s="69"/>
      <c r="F95" s="144"/>
      <c r="G95" s="130"/>
      <c r="H95" s="173">
        <v>539</v>
      </c>
      <c r="I95" s="32"/>
      <c r="J95" s="65"/>
      <c r="K95" s="64"/>
      <c r="L95" s="65"/>
      <c r="M95" s="65"/>
      <c r="N95" s="141">
        <v>0</v>
      </c>
    </row>
    <row r="96" spans="1:14">
      <c r="A96" s="66"/>
      <c r="B96" s="65"/>
      <c r="C96" s="64"/>
      <c r="D96" s="64"/>
      <c r="E96" s="65"/>
      <c r="F96" s="65"/>
      <c r="G96" s="64"/>
      <c r="H96" s="65"/>
      <c r="I96" s="65"/>
      <c r="J96" s="65"/>
      <c r="K96" s="64"/>
      <c r="L96" s="65"/>
      <c r="M96" s="65"/>
      <c r="N96" s="64"/>
    </row>
    <row r="97" spans="1:14" ht="15.75">
      <c r="A97" s="169" t="s">
        <v>64</v>
      </c>
      <c r="B97" s="167">
        <v>42125</v>
      </c>
      <c r="C97" s="81" t="s">
        <v>15</v>
      </c>
      <c r="D97" s="83">
        <v>260</v>
      </c>
      <c r="E97" s="69"/>
      <c r="F97" s="125">
        <v>42240</v>
      </c>
      <c r="G97" s="126">
        <v>410</v>
      </c>
      <c r="H97" s="84">
        <v>260</v>
      </c>
      <c r="I97" s="65"/>
      <c r="J97" s="65"/>
      <c r="K97" s="64"/>
      <c r="L97" s="65"/>
      <c r="M97" s="65"/>
      <c r="N97" s="219" t="s">
        <v>65</v>
      </c>
    </row>
    <row r="98" spans="1:14">
      <c r="A98" s="66"/>
      <c r="B98" s="65"/>
      <c r="C98" s="64"/>
      <c r="D98" s="64"/>
      <c r="E98" s="65"/>
      <c r="F98" s="143"/>
      <c r="G98" s="128"/>
      <c r="H98" s="32"/>
      <c r="I98" s="65"/>
      <c r="J98" s="65"/>
      <c r="K98" s="64"/>
      <c r="L98" s="65"/>
      <c r="M98" s="65"/>
      <c r="N98" s="64"/>
    </row>
    <row r="99" spans="1:14">
      <c r="A99" s="200" t="s">
        <v>76</v>
      </c>
      <c r="B99" s="86" t="s">
        <v>18</v>
      </c>
      <c r="C99" s="84" t="s">
        <v>63</v>
      </c>
      <c r="D99" s="83">
        <v>150</v>
      </c>
      <c r="E99" s="65"/>
      <c r="F99" s="144"/>
      <c r="G99" s="130"/>
      <c r="H99" s="84">
        <v>150</v>
      </c>
      <c r="I99" s="65"/>
      <c r="J99" s="65"/>
      <c r="K99" s="64"/>
      <c r="L99" s="65"/>
      <c r="M99" s="65"/>
      <c r="N99" s="141">
        <v>0</v>
      </c>
    </row>
    <row r="100" spans="1:14">
      <c r="A100" s="66"/>
      <c r="B100" s="65"/>
      <c r="C100" s="64"/>
      <c r="D100" s="64"/>
      <c r="E100" s="65"/>
      <c r="F100" s="65"/>
      <c r="G100" s="64"/>
      <c r="H100" s="65"/>
      <c r="I100" s="65"/>
      <c r="J100" s="65"/>
      <c r="K100" s="64"/>
      <c r="L100" s="65"/>
      <c r="M100" s="65"/>
      <c r="N100" s="64"/>
    </row>
    <row r="101" spans="1:14">
      <c r="A101" s="80">
        <v>42242</v>
      </c>
      <c r="B101" s="82">
        <v>575023</v>
      </c>
      <c r="C101" s="81" t="s">
        <v>15</v>
      </c>
      <c r="D101" s="88">
        <v>342.65</v>
      </c>
      <c r="E101" s="65"/>
      <c r="F101" s="180" t="s">
        <v>60</v>
      </c>
      <c r="G101" s="64"/>
      <c r="H101" s="65"/>
      <c r="I101" s="89" t="s">
        <v>30</v>
      </c>
      <c r="J101" s="65"/>
      <c r="K101" s="64"/>
      <c r="L101" s="65"/>
      <c r="M101" s="65"/>
      <c r="N101" s="81">
        <v>342.65</v>
      </c>
    </row>
    <row r="102" spans="1:14">
      <c r="A102" s="66"/>
      <c r="B102" s="65"/>
      <c r="C102" s="64"/>
      <c r="D102" s="64"/>
      <c r="E102" s="65"/>
      <c r="F102" s="65"/>
      <c r="G102" s="64"/>
      <c r="H102" s="65"/>
      <c r="I102" s="65"/>
      <c r="J102" s="65"/>
      <c r="K102" s="64"/>
      <c r="L102" s="65"/>
      <c r="M102" s="65"/>
      <c r="N102" s="64"/>
    </row>
    <row r="103" spans="1:14">
      <c r="A103" s="50"/>
      <c r="B103" s="53"/>
      <c r="C103" s="56" t="s">
        <v>31</v>
      </c>
      <c r="D103" s="57">
        <f>SUM(D85:D101)</f>
        <v>2793.9</v>
      </c>
      <c r="E103" s="51"/>
      <c r="F103" s="58" t="s">
        <v>32</v>
      </c>
      <c r="G103" s="56">
        <f>SUM(G84:G101)</f>
        <v>1601.25</v>
      </c>
      <c r="H103" s="51"/>
      <c r="I103" s="51"/>
      <c r="J103" s="58" t="s">
        <v>33</v>
      </c>
      <c r="K103" s="56">
        <f>SUM(K85:K101)</f>
        <v>850</v>
      </c>
      <c r="L103" s="52"/>
      <c r="M103" s="65"/>
      <c r="N103" s="64"/>
    </row>
    <row r="104" spans="1:14">
      <c r="A104" s="27"/>
      <c r="B104" s="59" t="s">
        <v>34</v>
      </c>
      <c r="C104" s="60"/>
      <c r="D104" s="133">
        <f>SUM(G103,K103)</f>
        <v>2451.25</v>
      </c>
      <c r="E104" s="28"/>
      <c r="F104" s="28"/>
      <c r="G104" s="29"/>
      <c r="H104" s="28"/>
      <c r="I104" s="28"/>
      <c r="J104" s="28"/>
      <c r="K104" s="29"/>
      <c r="L104" s="29"/>
      <c r="M104" s="65"/>
      <c r="N104" s="64"/>
    </row>
    <row r="105" spans="1:14" ht="15.75">
      <c r="A105" s="27"/>
      <c r="B105" s="61" t="s">
        <v>35</v>
      </c>
      <c r="C105" s="62"/>
      <c r="D105" s="117">
        <f>SUM(D104-D103)</f>
        <v>-342.65000000000009</v>
      </c>
      <c r="E105" s="28"/>
      <c r="F105" s="28"/>
      <c r="G105" s="28"/>
      <c r="H105" s="28"/>
      <c r="I105" s="28"/>
      <c r="J105" s="28"/>
      <c r="K105" s="28"/>
      <c r="L105" s="29"/>
      <c r="M105" s="65"/>
      <c r="N105" s="64"/>
    </row>
    <row r="106" spans="1:14">
      <c r="A106" s="3"/>
      <c r="B106" s="68"/>
      <c r="C106" s="64"/>
      <c r="D106" s="64"/>
      <c r="E106" s="65"/>
      <c r="F106" s="65"/>
      <c r="G106" s="64"/>
      <c r="H106" s="65"/>
      <c r="I106" s="65"/>
      <c r="J106" s="65"/>
      <c r="K106" s="64"/>
      <c r="L106" s="65"/>
      <c r="M106" s="65"/>
      <c r="N106" s="64"/>
    </row>
    <row r="107" spans="1:14" ht="18.75">
      <c r="A107" s="40"/>
      <c r="B107" s="30"/>
      <c r="C107" s="29"/>
      <c r="D107" s="28"/>
      <c r="E107" s="28"/>
      <c r="F107" s="120" t="s">
        <v>52</v>
      </c>
      <c r="G107" s="121"/>
      <c r="H107" s="121"/>
      <c r="I107" s="121"/>
      <c r="J107" s="121"/>
      <c r="K107" s="121"/>
      <c r="L107" s="122"/>
      <c r="M107" s="65"/>
      <c r="N107" s="64"/>
    </row>
    <row r="108" spans="1:14">
      <c r="A108" s="3"/>
      <c r="B108" s="4"/>
      <c r="C108" s="5"/>
      <c r="D108" s="4"/>
      <c r="E108" s="4"/>
      <c r="F108" s="109">
        <v>42227</v>
      </c>
      <c r="G108" s="110">
        <v>450</v>
      </c>
      <c r="H108" s="177" t="s">
        <v>57</v>
      </c>
      <c r="I108" s="178"/>
      <c r="J108" s="4"/>
      <c r="K108" s="4"/>
      <c r="L108" s="4"/>
      <c r="M108" s="4"/>
      <c r="N108" s="4"/>
    </row>
    <row r="109" spans="1:14">
      <c r="A109" s="3"/>
      <c r="B109" s="4"/>
      <c r="C109" s="5"/>
      <c r="D109" s="4"/>
      <c r="E109" s="4"/>
      <c r="F109" s="111" t="s">
        <v>58</v>
      </c>
      <c r="G109" s="112"/>
      <c r="H109" s="113"/>
      <c r="I109" s="4"/>
      <c r="J109" s="31"/>
      <c r="K109" s="33"/>
      <c r="L109" s="33"/>
      <c r="M109" s="4"/>
      <c r="N109" s="4"/>
    </row>
    <row r="110" spans="1:14">
      <c r="A110" s="8"/>
      <c r="B110" s="4"/>
      <c r="C110" s="5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spans="1:14">
      <c r="A111" s="8"/>
      <c r="B111" s="4"/>
      <c r="C111" s="5"/>
      <c r="D111" s="4"/>
      <c r="E111" s="4"/>
      <c r="F111" s="181">
        <v>42230</v>
      </c>
      <c r="G111" s="182">
        <v>500</v>
      </c>
      <c r="H111" s="174" t="s">
        <v>61</v>
      </c>
      <c r="I111" s="4"/>
      <c r="J111" s="109">
        <v>42228</v>
      </c>
      <c r="K111" s="110">
        <v>100</v>
      </c>
      <c r="L111" s="110" t="s">
        <v>22</v>
      </c>
      <c r="M111" s="4"/>
      <c r="N111" s="4"/>
    </row>
    <row r="112" spans="1:14">
      <c r="A112" s="8"/>
      <c r="B112" s="9"/>
      <c r="C112" s="5"/>
      <c r="D112" s="4"/>
      <c r="E112" s="4"/>
      <c r="F112" s="175" t="s">
        <v>62</v>
      </c>
      <c r="G112" s="183"/>
      <c r="H112" s="176"/>
      <c r="I112" s="4"/>
      <c r="J112" s="31"/>
      <c r="K112" s="33"/>
      <c r="L112" s="33"/>
      <c r="M112" s="4"/>
      <c r="N112" s="4"/>
    </row>
    <row r="113" spans="1:14">
      <c r="A113" s="3"/>
      <c r="B113" s="4"/>
      <c r="C113" s="5"/>
      <c r="D113" s="4"/>
      <c r="E113" s="4"/>
      <c r="F113" s="4"/>
      <c r="G113" s="15"/>
      <c r="H113" s="19"/>
      <c r="I113" s="19"/>
      <c r="J113" s="19"/>
      <c r="K113" s="13"/>
      <c r="L113" s="4"/>
      <c r="M113" s="4"/>
      <c r="N113" s="4"/>
    </row>
    <row r="114" spans="1:14" ht="21">
      <c r="A114" s="155" t="s">
        <v>66</v>
      </c>
      <c r="B114" s="156"/>
      <c r="C114" s="156"/>
      <c r="D114" s="156"/>
      <c r="E114" s="156"/>
      <c r="F114" s="156"/>
      <c r="G114" s="156"/>
      <c r="H114" s="156"/>
      <c r="I114" s="156"/>
      <c r="J114" s="156"/>
      <c r="K114" s="156"/>
      <c r="L114" s="156"/>
      <c r="M114" s="156"/>
      <c r="N114" s="157"/>
    </row>
    <row r="115" spans="1:14">
      <c r="A115" s="46" t="s">
        <v>1</v>
      </c>
      <c r="B115" s="39" t="s">
        <v>2</v>
      </c>
      <c r="C115" s="47" t="s">
        <v>3</v>
      </c>
      <c r="D115" s="48" t="s">
        <v>6</v>
      </c>
      <c r="E115" s="49"/>
      <c r="F115" s="39" t="s">
        <v>7</v>
      </c>
      <c r="G115" s="39" t="s">
        <v>9</v>
      </c>
      <c r="H115" s="39" t="s">
        <v>8</v>
      </c>
      <c r="I115" s="39"/>
      <c r="J115" s="39" t="s">
        <v>12</v>
      </c>
      <c r="K115" s="39" t="s">
        <v>11</v>
      </c>
      <c r="L115" s="39" t="s">
        <v>10</v>
      </c>
      <c r="M115" s="39"/>
      <c r="N115" s="39" t="s">
        <v>13</v>
      </c>
    </row>
    <row r="116" spans="1:14">
      <c r="A116" s="203">
        <v>42251</v>
      </c>
      <c r="B116" s="188">
        <v>575027</v>
      </c>
      <c r="C116" s="88" t="s">
        <v>68</v>
      </c>
      <c r="D116" s="83">
        <v>50</v>
      </c>
      <c r="E116" s="69"/>
      <c r="F116" s="180" t="s">
        <v>60</v>
      </c>
      <c r="G116" s="64"/>
      <c r="H116" s="65"/>
      <c r="I116" s="89" t="s">
        <v>30</v>
      </c>
      <c r="J116" s="37"/>
      <c r="K116" s="37"/>
      <c r="L116" s="37"/>
      <c r="M116" s="37"/>
      <c r="N116" s="141">
        <v>0</v>
      </c>
    </row>
    <row r="117" spans="1:14">
      <c r="A117" s="46"/>
      <c r="B117" s="39"/>
      <c r="C117" s="47"/>
      <c r="D117" s="198"/>
      <c r="E117" s="78"/>
      <c r="F117" s="76"/>
      <c r="G117" s="76"/>
      <c r="H117" s="76"/>
      <c r="I117" s="76"/>
      <c r="J117" s="76"/>
      <c r="K117" s="76"/>
      <c r="L117" s="76"/>
      <c r="M117" s="76"/>
      <c r="N117" s="76"/>
    </row>
    <row r="118" spans="1:14">
      <c r="A118" s="220" t="s">
        <v>88</v>
      </c>
      <c r="B118" s="221">
        <v>575032</v>
      </c>
      <c r="C118" s="222" t="s">
        <v>69</v>
      </c>
      <c r="D118" s="123">
        <v>118.07</v>
      </c>
      <c r="E118" s="69"/>
      <c r="F118" s="87" t="s">
        <v>70</v>
      </c>
      <c r="G118" s="189">
        <v>42</v>
      </c>
      <c r="H118" s="32"/>
      <c r="I118" s="89" t="s">
        <v>30</v>
      </c>
      <c r="J118" s="31"/>
      <c r="K118" s="33"/>
      <c r="L118" s="32"/>
      <c r="M118" s="65"/>
      <c r="N118" s="126">
        <v>83.93</v>
      </c>
    </row>
    <row r="119" spans="1:14">
      <c r="A119" s="223"/>
      <c r="B119" s="224"/>
      <c r="C119" s="225"/>
      <c r="D119" s="124"/>
      <c r="E119" s="4"/>
      <c r="F119" s="135">
        <v>42255</v>
      </c>
      <c r="G119" s="136">
        <v>792</v>
      </c>
      <c r="H119" s="192">
        <v>160</v>
      </c>
      <c r="I119" s="191"/>
      <c r="J119" s="17"/>
      <c r="K119" s="13"/>
      <c r="L119" s="4"/>
      <c r="M119" s="4"/>
      <c r="N119" s="130"/>
    </row>
    <row r="120" spans="1:14">
      <c r="A120" s="66"/>
      <c r="B120" s="65"/>
      <c r="C120" s="64"/>
      <c r="D120" s="65"/>
      <c r="E120" s="4"/>
      <c r="F120" s="150"/>
      <c r="G120" s="138"/>
      <c r="H120" s="212"/>
      <c r="I120" s="191"/>
      <c r="J120" s="17"/>
      <c r="K120" s="13"/>
      <c r="L120" s="4"/>
      <c r="M120" s="4"/>
      <c r="N120" s="4"/>
    </row>
    <row r="121" spans="1:14">
      <c r="A121" s="94">
        <v>42264</v>
      </c>
      <c r="B121" s="86">
        <v>290871</v>
      </c>
      <c r="C121" s="84" t="s">
        <v>71</v>
      </c>
      <c r="D121" s="83">
        <v>500</v>
      </c>
      <c r="E121" s="4"/>
      <c r="F121" s="150"/>
      <c r="G121" s="138"/>
      <c r="H121" s="192">
        <v>500</v>
      </c>
      <c r="I121" s="191"/>
      <c r="J121" s="17"/>
      <c r="K121" s="13"/>
      <c r="L121" s="4"/>
      <c r="M121" s="4"/>
      <c r="N121" s="141">
        <v>0</v>
      </c>
    </row>
    <row r="122" spans="1:14">
      <c r="A122" s="66"/>
      <c r="B122" s="65"/>
      <c r="C122" s="64"/>
      <c r="D122" s="64"/>
      <c r="E122" s="4"/>
      <c r="F122" s="150"/>
      <c r="G122" s="138"/>
      <c r="H122" s="212"/>
      <c r="I122" s="191"/>
      <c r="J122" s="17"/>
      <c r="K122" s="13"/>
      <c r="L122" s="4"/>
      <c r="M122" s="4"/>
      <c r="N122" s="4"/>
    </row>
    <row r="123" spans="1:14">
      <c r="A123" s="80">
        <v>42251</v>
      </c>
      <c r="B123" s="82">
        <v>57531</v>
      </c>
      <c r="C123" s="81" t="s">
        <v>72</v>
      </c>
      <c r="D123" s="83">
        <v>73</v>
      </c>
      <c r="E123" s="4"/>
      <c r="F123" s="151"/>
      <c r="G123" s="140"/>
      <c r="H123" s="192">
        <v>45</v>
      </c>
      <c r="I123" s="196"/>
      <c r="J123" s="17"/>
      <c r="K123" s="13"/>
      <c r="L123" s="4"/>
      <c r="M123" s="4"/>
      <c r="N123" s="7">
        <v>28</v>
      </c>
    </row>
    <row r="124" spans="1:14">
      <c r="A124" s="66"/>
      <c r="B124" s="65"/>
      <c r="C124" s="64"/>
      <c r="D124" s="64"/>
      <c r="E124" s="4"/>
      <c r="F124" s="74"/>
      <c r="G124" s="190"/>
      <c r="H124" s="191"/>
      <c r="I124" s="191"/>
      <c r="J124" s="17"/>
      <c r="K124" s="13"/>
      <c r="L124" s="4"/>
      <c r="M124" s="4"/>
      <c r="N124" s="4"/>
    </row>
    <row r="125" spans="1:14">
      <c r="A125" s="200" t="s">
        <v>76</v>
      </c>
      <c r="B125" s="94" t="s">
        <v>30</v>
      </c>
      <c r="C125" s="84" t="s">
        <v>73</v>
      </c>
      <c r="D125" s="83">
        <v>80</v>
      </c>
      <c r="E125" s="4"/>
      <c r="F125" s="105">
        <v>42262</v>
      </c>
      <c r="G125" s="107">
        <v>80</v>
      </c>
      <c r="H125" s="192">
        <v>80</v>
      </c>
      <c r="I125" s="191"/>
      <c r="J125" s="17"/>
      <c r="K125" s="13"/>
      <c r="L125" s="4"/>
      <c r="M125" s="4"/>
      <c r="N125" s="141">
        <v>0</v>
      </c>
    </row>
    <row r="126" spans="1:14">
      <c r="A126" s="66"/>
      <c r="B126" s="65"/>
      <c r="C126" s="64"/>
      <c r="D126" s="64"/>
      <c r="E126" s="4"/>
      <c r="F126" s="74"/>
      <c r="G126" s="190"/>
      <c r="H126" s="191"/>
      <c r="I126" s="191"/>
      <c r="J126" s="17"/>
      <c r="K126" s="13"/>
      <c r="L126" s="4"/>
      <c r="M126" s="4"/>
      <c r="N126" s="4"/>
    </row>
    <row r="127" spans="1:14">
      <c r="A127" s="94">
        <v>42250</v>
      </c>
      <c r="B127" s="86">
        <v>575024</v>
      </c>
      <c r="C127" s="84" t="s">
        <v>25</v>
      </c>
      <c r="D127" s="83">
        <v>370</v>
      </c>
      <c r="E127" s="4"/>
      <c r="F127" s="105">
        <v>42264</v>
      </c>
      <c r="G127" s="107">
        <v>364</v>
      </c>
      <c r="H127" s="192">
        <v>364</v>
      </c>
      <c r="I127" s="199" t="s">
        <v>74</v>
      </c>
      <c r="J127" s="17"/>
      <c r="K127" s="13"/>
      <c r="L127" s="4"/>
      <c r="M127" s="4"/>
      <c r="N127" s="141">
        <v>0</v>
      </c>
    </row>
    <row r="128" spans="1:14">
      <c r="A128" s="66"/>
      <c r="B128" s="68"/>
      <c r="C128" s="64"/>
      <c r="D128" s="64"/>
      <c r="E128" s="4"/>
      <c r="F128" s="74"/>
      <c r="G128" s="190"/>
      <c r="H128" s="191"/>
      <c r="I128" s="191"/>
      <c r="J128" s="17"/>
      <c r="K128" s="13"/>
      <c r="L128" s="4"/>
      <c r="M128" s="4"/>
      <c r="N128" s="4"/>
    </row>
    <row r="129" spans="1:14">
      <c r="A129" s="184">
        <v>42247</v>
      </c>
      <c r="B129" s="171" t="s">
        <v>4</v>
      </c>
      <c r="C129" s="81" t="s">
        <v>15</v>
      </c>
      <c r="D129" s="83">
        <v>551.27</v>
      </c>
      <c r="E129" s="69"/>
      <c r="F129" s="185">
        <v>42264</v>
      </c>
      <c r="G129" s="126">
        <v>603.05999999999995</v>
      </c>
      <c r="H129" s="84">
        <v>400</v>
      </c>
      <c r="I129" s="32"/>
      <c r="J129" s="37"/>
      <c r="K129" s="37"/>
      <c r="L129" s="37"/>
      <c r="M129" s="37"/>
      <c r="N129" s="81">
        <v>151.27000000000001</v>
      </c>
    </row>
    <row r="130" spans="1:14">
      <c r="A130" s="75"/>
      <c r="B130" s="76"/>
      <c r="C130" s="77"/>
      <c r="D130" s="79"/>
      <c r="E130" s="78"/>
      <c r="F130" s="186"/>
      <c r="G130" s="128"/>
      <c r="H130" s="77"/>
      <c r="I130" s="76"/>
      <c r="J130" s="76"/>
      <c r="K130" s="76"/>
      <c r="L130" s="76"/>
      <c r="M130" s="76"/>
      <c r="N130" s="76"/>
    </row>
    <row r="131" spans="1:14">
      <c r="A131" s="94">
        <v>42262</v>
      </c>
      <c r="B131" s="86">
        <v>290855</v>
      </c>
      <c r="C131" s="84" t="s">
        <v>67</v>
      </c>
      <c r="D131" s="83">
        <v>323.06</v>
      </c>
      <c r="E131" s="69"/>
      <c r="F131" s="187"/>
      <c r="G131" s="130"/>
      <c r="H131" s="84">
        <v>203.06</v>
      </c>
      <c r="I131" s="65"/>
      <c r="J131" s="94">
        <v>42264</v>
      </c>
      <c r="K131" s="84">
        <v>120</v>
      </c>
      <c r="L131" s="84">
        <v>120</v>
      </c>
      <c r="M131" s="65"/>
      <c r="N131" s="141">
        <v>0</v>
      </c>
    </row>
    <row r="132" spans="1:14">
      <c r="A132" s="3"/>
      <c r="B132" s="4"/>
      <c r="C132" s="5"/>
      <c r="D132" s="4"/>
      <c r="E132" s="4"/>
      <c r="F132" s="4"/>
      <c r="G132" s="15"/>
      <c r="H132" s="18"/>
      <c r="I132" s="18"/>
      <c r="J132" s="18"/>
      <c r="K132" s="13"/>
      <c r="L132" s="4"/>
      <c r="M132" s="4"/>
      <c r="N132" s="4"/>
    </row>
    <row r="133" spans="1:14">
      <c r="A133" s="94">
        <v>42264</v>
      </c>
      <c r="B133" s="86">
        <v>290858</v>
      </c>
      <c r="C133" s="84" t="s">
        <v>67</v>
      </c>
      <c r="D133" s="83">
        <v>480</v>
      </c>
      <c r="E133" s="4"/>
      <c r="F133" s="125">
        <v>42275</v>
      </c>
      <c r="G133" s="136">
        <v>1028</v>
      </c>
      <c r="H133" s="11">
        <v>320</v>
      </c>
      <c r="I133" s="14"/>
      <c r="J133" s="135">
        <v>42275</v>
      </c>
      <c r="K133" s="136">
        <v>460</v>
      </c>
      <c r="L133" s="10">
        <v>160</v>
      </c>
      <c r="M133" s="4"/>
      <c r="N133" s="141">
        <v>0</v>
      </c>
    </row>
    <row r="134" spans="1:14">
      <c r="A134" s="3"/>
      <c r="B134" s="4"/>
      <c r="C134" s="5"/>
      <c r="D134" s="4"/>
      <c r="E134" s="4"/>
      <c r="F134" s="143"/>
      <c r="G134" s="138"/>
      <c r="H134" s="213"/>
      <c r="I134" s="16"/>
      <c r="J134" s="137"/>
      <c r="K134" s="138"/>
      <c r="L134" s="25"/>
      <c r="M134" s="4"/>
      <c r="N134" s="4"/>
    </row>
    <row r="135" spans="1:14">
      <c r="A135" s="85">
        <v>42269</v>
      </c>
      <c r="B135" s="86" t="s">
        <v>4</v>
      </c>
      <c r="C135" s="84" t="s">
        <v>67</v>
      </c>
      <c r="D135" s="83">
        <v>724.85</v>
      </c>
      <c r="E135" s="4"/>
      <c r="F135" s="143"/>
      <c r="G135" s="138"/>
      <c r="H135" s="11">
        <v>340</v>
      </c>
      <c r="I135" s="4"/>
      <c r="J135" s="139"/>
      <c r="K135" s="140"/>
      <c r="L135" s="10">
        <v>300</v>
      </c>
      <c r="M135" s="214" t="s">
        <v>84</v>
      </c>
      <c r="N135" s="141">
        <v>0</v>
      </c>
    </row>
    <row r="136" spans="1:14">
      <c r="A136" s="3"/>
      <c r="B136" s="4"/>
      <c r="C136" s="5"/>
      <c r="D136" s="4"/>
      <c r="E136" s="4"/>
      <c r="F136" s="143"/>
      <c r="G136" s="138"/>
      <c r="H136" s="29"/>
      <c r="I136" s="4"/>
      <c r="J136" s="4"/>
      <c r="K136" s="4"/>
      <c r="L136" s="4"/>
      <c r="M136" s="4"/>
      <c r="N136" s="4"/>
    </row>
    <row r="137" spans="1:14">
      <c r="A137" s="167" t="s">
        <v>64</v>
      </c>
      <c r="B137" s="168">
        <v>42247</v>
      </c>
      <c r="C137" s="81" t="s">
        <v>15</v>
      </c>
      <c r="D137" s="83">
        <v>140</v>
      </c>
      <c r="E137" s="4"/>
      <c r="F137" s="143"/>
      <c r="G137" s="138"/>
      <c r="H137" s="11">
        <v>140</v>
      </c>
      <c r="I137" s="4"/>
      <c r="J137" s="4"/>
      <c r="K137" s="4"/>
      <c r="L137" s="4"/>
      <c r="M137" s="4"/>
      <c r="N137" s="7">
        <v>11.21</v>
      </c>
    </row>
    <row r="138" spans="1:14">
      <c r="A138" s="66"/>
      <c r="B138" s="65"/>
      <c r="C138" s="64"/>
      <c r="D138" s="64"/>
      <c r="E138" s="4"/>
      <c r="F138" s="143"/>
      <c r="G138" s="138"/>
      <c r="H138" s="29"/>
      <c r="I138" s="4"/>
      <c r="J138" s="4"/>
      <c r="K138" s="4"/>
      <c r="L138" s="4"/>
      <c r="M138" s="4"/>
      <c r="N138" s="4"/>
    </row>
    <row r="139" spans="1:14">
      <c r="A139" s="200" t="s">
        <v>76</v>
      </c>
      <c r="B139" s="86" t="s">
        <v>30</v>
      </c>
      <c r="C139" s="84" t="s">
        <v>75</v>
      </c>
      <c r="D139" s="83">
        <v>228</v>
      </c>
      <c r="E139" s="4"/>
      <c r="F139" s="144"/>
      <c r="G139" s="140"/>
      <c r="H139" s="11">
        <v>228</v>
      </c>
      <c r="I139" s="4"/>
      <c r="J139" s="4"/>
      <c r="K139" s="4"/>
      <c r="L139" s="4"/>
      <c r="M139" s="4"/>
      <c r="N139" s="6" t="s">
        <v>77</v>
      </c>
    </row>
    <row r="140" spans="1:14">
      <c r="A140" s="3"/>
      <c r="B140" s="4"/>
      <c r="C140" s="5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spans="1:14">
      <c r="A141" s="200" t="s">
        <v>76</v>
      </c>
      <c r="B141" s="86" t="s">
        <v>30</v>
      </c>
      <c r="C141" s="84" t="s">
        <v>78</v>
      </c>
      <c r="D141" s="83">
        <v>228</v>
      </c>
      <c r="E141" s="4"/>
      <c r="F141" s="4"/>
      <c r="G141" s="4"/>
      <c r="H141" s="4"/>
      <c r="I141" s="4"/>
      <c r="J141" s="201">
        <v>42276</v>
      </c>
      <c r="K141" s="10">
        <v>240</v>
      </c>
      <c r="L141" s="10">
        <v>240</v>
      </c>
      <c r="M141" s="4"/>
      <c r="N141" s="6" t="s">
        <v>77</v>
      </c>
    </row>
    <row r="142" spans="1:14">
      <c r="A142" s="3"/>
      <c r="B142" s="4"/>
      <c r="C142" s="5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spans="1:14">
      <c r="A143" s="8"/>
      <c r="B143" s="4"/>
      <c r="C143" s="5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spans="1:14">
      <c r="A144" s="50"/>
      <c r="B144" s="53"/>
      <c r="C144" s="56" t="s">
        <v>31</v>
      </c>
      <c r="D144" s="57">
        <f>SUM(D116:D141)</f>
        <v>3866.25</v>
      </c>
      <c r="E144" s="51"/>
      <c r="F144" s="58" t="s">
        <v>32</v>
      </c>
      <c r="G144" s="56">
        <f>SUM(G116:G142)</f>
        <v>2909.06</v>
      </c>
      <c r="H144" s="51"/>
      <c r="I144" s="51"/>
      <c r="J144" s="58" t="s">
        <v>33</v>
      </c>
      <c r="K144" s="56">
        <f>SUM(K116:K142)</f>
        <v>820</v>
      </c>
      <c r="L144" s="52"/>
      <c r="M144" s="65"/>
      <c r="N144" s="64"/>
    </row>
    <row r="145" spans="1:14">
      <c r="A145" s="27"/>
      <c r="B145" s="59" t="s">
        <v>34</v>
      </c>
      <c r="C145" s="60"/>
      <c r="D145" s="133">
        <f>SUM(G144,K144)</f>
        <v>3729.06</v>
      </c>
      <c r="E145" s="28"/>
      <c r="F145" s="28"/>
      <c r="G145" s="29"/>
      <c r="H145" s="28"/>
      <c r="I145" s="28"/>
      <c r="J145" s="28"/>
      <c r="K145" s="29"/>
      <c r="L145" s="29"/>
      <c r="M145" s="65"/>
      <c r="N145" s="64"/>
    </row>
    <row r="146" spans="1:14" ht="15.75">
      <c r="A146" s="27"/>
      <c r="B146" s="61" t="s">
        <v>35</v>
      </c>
      <c r="C146" s="62"/>
      <c r="D146" s="117">
        <f>SUM(D145-D144)</f>
        <v>-137.19000000000005</v>
      </c>
      <c r="E146" s="28"/>
      <c r="F146" s="28"/>
      <c r="G146" s="28"/>
      <c r="H146" s="28"/>
      <c r="I146" s="28"/>
      <c r="J146" s="28"/>
      <c r="K146" s="28"/>
      <c r="L146" s="29"/>
      <c r="M146" s="65"/>
      <c r="N146" s="64"/>
    </row>
    <row r="147" spans="1:14">
      <c r="A147" s="3"/>
      <c r="B147" s="68"/>
      <c r="C147" s="64"/>
      <c r="D147" s="64"/>
      <c r="E147" s="65"/>
      <c r="F147" s="65"/>
      <c r="G147" s="64"/>
      <c r="H147" s="65"/>
      <c r="I147" s="65"/>
      <c r="J147" s="65"/>
      <c r="K147" s="64"/>
      <c r="L147" s="65"/>
      <c r="M147" s="65"/>
      <c r="N147" s="64"/>
    </row>
    <row r="148" spans="1:14" ht="18.75">
      <c r="A148" s="40"/>
      <c r="B148" s="30"/>
      <c r="C148" s="29"/>
      <c r="D148" s="28"/>
      <c r="E148" s="28"/>
      <c r="F148" s="120" t="s">
        <v>52</v>
      </c>
      <c r="G148" s="121"/>
      <c r="H148" s="121"/>
      <c r="I148" s="121"/>
      <c r="J148" s="121"/>
      <c r="K148" s="121"/>
      <c r="L148" s="122"/>
      <c r="M148" s="65"/>
      <c r="N148" s="64"/>
    </row>
    <row r="149" spans="1:14">
      <c r="A149" s="8"/>
      <c r="B149" s="4"/>
      <c r="C149" s="5"/>
      <c r="D149" s="4"/>
      <c r="E149" s="4"/>
      <c r="F149" s="181">
        <v>42250</v>
      </c>
      <c r="G149" s="182">
        <v>500</v>
      </c>
      <c r="H149" s="174" t="s">
        <v>61</v>
      </c>
      <c r="I149" s="4"/>
      <c r="J149" s="109">
        <v>42268</v>
      </c>
      <c r="K149" s="110">
        <v>200</v>
      </c>
      <c r="L149" s="110" t="s">
        <v>22</v>
      </c>
      <c r="M149" s="4"/>
      <c r="N149" s="4"/>
    </row>
    <row r="150" spans="1:14">
      <c r="A150" s="8"/>
      <c r="B150" s="9"/>
      <c r="C150" s="5"/>
      <c r="D150" s="4"/>
      <c r="E150" s="4"/>
      <c r="F150" s="175" t="s">
        <v>62</v>
      </c>
      <c r="G150" s="183"/>
      <c r="H150" s="176"/>
      <c r="I150" s="4"/>
      <c r="J150" s="31"/>
      <c r="K150" s="33"/>
      <c r="L150" s="33"/>
      <c r="M150" s="4"/>
      <c r="N150" s="4"/>
    </row>
    <row r="151" spans="1:14">
      <c r="A151" s="3"/>
      <c r="B151" s="4"/>
      <c r="C151" s="5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spans="1:14">
      <c r="A152" s="3"/>
      <c r="B152" s="4"/>
      <c r="C152" s="5"/>
      <c r="D152" s="4"/>
      <c r="E152" s="4"/>
      <c r="F152" s="181">
        <v>42272</v>
      </c>
      <c r="G152" s="182">
        <v>360</v>
      </c>
      <c r="H152" s="174" t="s">
        <v>61</v>
      </c>
      <c r="I152" s="4"/>
      <c r="J152" s="4"/>
      <c r="K152" s="4"/>
      <c r="L152" s="4"/>
      <c r="M152" s="4"/>
      <c r="N152" s="4"/>
    </row>
    <row r="153" spans="1:14">
      <c r="A153" s="3"/>
      <c r="B153" s="4"/>
      <c r="C153" s="5"/>
      <c r="D153" s="4"/>
      <c r="E153" s="4"/>
      <c r="F153" s="175" t="s">
        <v>62</v>
      </c>
      <c r="G153" s="183"/>
      <c r="H153" s="176"/>
      <c r="I153" s="4"/>
      <c r="J153" s="4"/>
      <c r="K153" s="4"/>
      <c r="L153" s="4"/>
      <c r="M153" s="4"/>
      <c r="N153" s="4"/>
    </row>
    <row r="154" spans="1:14">
      <c r="A154" s="3"/>
      <c r="B154" s="4"/>
      <c r="C154" s="5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ht="21">
      <c r="A155" s="155" t="s">
        <v>80</v>
      </c>
      <c r="B155" s="156"/>
      <c r="C155" s="156"/>
      <c r="D155" s="156"/>
      <c r="E155" s="156"/>
      <c r="F155" s="156"/>
      <c r="G155" s="156"/>
      <c r="H155" s="156"/>
      <c r="I155" s="156"/>
      <c r="J155" s="156"/>
      <c r="K155" s="156"/>
      <c r="L155" s="156"/>
      <c r="M155" s="156"/>
      <c r="N155" s="157"/>
    </row>
    <row r="156" spans="1:14">
      <c r="A156" s="46" t="s">
        <v>1</v>
      </c>
      <c r="B156" s="39" t="s">
        <v>2</v>
      </c>
      <c r="C156" s="47" t="s">
        <v>3</v>
      </c>
      <c r="D156" s="48" t="s">
        <v>6</v>
      </c>
      <c r="E156" s="49"/>
      <c r="F156" s="39" t="s">
        <v>7</v>
      </c>
      <c r="G156" s="39" t="s">
        <v>9</v>
      </c>
      <c r="H156" s="39" t="s">
        <v>8</v>
      </c>
      <c r="I156" s="39"/>
      <c r="J156" s="39" t="s">
        <v>12</v>
      </c>
      <c r="K156" s="39" t="s">
        <v>11</v>
      </c>
      <c r="L156" s="39" t="s">
        <v>10</v>
      </c>
      <c r="M156" s="39"/>
      <c r="N156" s="39" t="s">
        <v>13</v>
      </c>
    </row>
    <row r="157" spans="1:14">
      <c r="A157" s="80">
        <v>42264</v>
      </c>
      <c r="B157" s="82">
        <v>290860</v>
      </c>
      <c r="C157" s="81" t="s">
        <v>14</v>
      </c>
      <c r="D157" s="81">
        <v>41.42</v>
      </c>
      <c r="E157" s="4"/>
      <c r="F157" s="4"/>
      <c r="G157" s="5"/>
      <c r="H157" s="5"/>
      <c r="I157" s="4"/>
      <c r="J157" s="4"/>
      <c r="K157" s="5"/>
      <c r="L157" s="5"/>
      <c r="M157" s="4"/>
      <c r="N157" s="12">
        <v>41.42</v>
      </c>
    </row>
    <row r="158" spans="1:14">
      <c r="A158" s="66"/>
      <c r="B158" s="65"/>
      <c r="C158" s="64"/>
      <c r="D158" s="64"/>
      <c r="E158" s="4"/>
      <c r="F158" s="4"/>
      <c r="G158" s="5"/>
      <c r="H158" s="5"/>
      <c r="I158" s="4"/>
      <c r="J158" s="4"/>
      <c r="K158" s="5"/>
      <c r="L158" s="5"/>
      <c r="M158" s="4"/>
      <c r="N158" s="5"/>
    </row>
    <row r="159" spans="1:14">
      <c r="A159" s="80">
        <v>42264</v>
      </c>
      <c r="B159" s="82">
        <v>290859</v>
      </c>
      <c r="C159" s="81" t="s">
        <v>15</v>
      </c>
      <c r="D159" s="81">
        <v>100.21</v>
      </c>
      <c r="E159" s="4"/>
      <c r="F159" s="4"/>
      <c r="G159" s="5"/>
      <c r="H159" s="5"/>
      <c r="I159" s="4"/>
      <c r="J159" s="4"/>
      <c r="K159" s="5"/>
      <c r="L159" s="5"/>
      <c r="M159" s="4"/>
      <c r="N159" s="7">
        <v>100.21</v>
      </c>
    </row>
    <row r="160" spans="1:14">
      <c r="A160" s="31"/>
      <c r="B160" s="32"/>
      <c r="C160" s="33"/>
      <c r="D160" s="33"/>
      <c r="E160" s="4"/>
      <c r="F160" s="4"/>
      <c r="G160" s="5"/>
      <c r="H160" s="5"/>
      <c r="I160" s="4"/>
      <c r="J160" s="4"/>
      <c r="K160" s="5"/>
      <c r="L160" s="5"/>
      <c r="M160" s="4"/>
      <c r="N160" s="24"/>
    </row>
    <row r="161" spans="1:14">
      <c r="A161" s="90">
        <v>42270</v>
      </c>
      <c r="B161" s="193">
        <v>290868</v>
      </c>
      <c r="C161" s="91" t="s">
        <v>37</v>
      </c>
      <c r="D161" s="123">
        <v>180.1</v>
      </c>
      <c r="E161" s="4"/>
      <c r="F161" s="87" t="s">
        <v>70</v>
      </c>
      <c r="G161" s="189">
        <v>165.23</v>
      </c>
      <c r="H161" s="32"/>
      <c r="I161" s="89" t="s">
        <v>30</v>
      </c>
      <c r="J161" s="4"/>
      <c r="K161" s="5"/>
      <c r="L161" s="5"/>
      <c r="M161" s="4"/>
      <c r="N161" s="91">
        <v>165.1</v>
      </c>
    </row>
    <row r="162" spans="1:14">
      <c r="A162" s="197"/>
      <c r="B162" s="93"/>
      <c r="C162" s="92"/>
      <c r="D162" s="124"/>
      <c r="E162" s="4"/>
      <c r="F162" s="125">
        <v>42283</v>
      </c>
      <c r="G162" s="126">
        <v>1443.5</v>
      </c>
      <c r="H162" s="10">
        <v>15</v>
      </c>
      <c r="I162" s="4"/>
      <c r="J162" s="4"/>
      <c r="K162" s="5"/>
      <c r="L162" s="5"/>
      <c r="M162" s="4"/>
      <c r="N162" s="92"/>
    </row>
    <row r="163" spans="1:14">
      <c r="A163" s="65"/>
      <c r="B163" s="49"/>
      <c r="C163" s="64"/>
      <c r="D163" s="64"/>
      <c r="E163" s="4"/>
      <c r="F163" s="127"/>
      <c r="G163" s="128"/>
      <c r="H163" s="25"/>
      <c r="I163" s="4"/>
      <c r="J163" s="4"/>
      <c r="K163" s="5"/>
      <c r="L163" s="5"/>
      <c r="M163" s="4"/>
      <c r="N163" s="4"/>
    </row>
    <row r="164" spans="1:14">
      <c r="A164" s="85">
        <v>42275</v>
      </c>
      <c r="B164" s="131">
        <v>290866</v>
      </c>
      <c r="C164" s="172" t="s">
        <v>81</v>
      </c>
      <c r="D164" s="83">
        <v>860</v>
      </c>
      <c r="E164" s="4"/>
      <c r="F164" s="127"/>
      <c r="G164" s="128"/>
      <c r="H164" s="84">
        <v>860</v>
      </c>
      <c r="I164" s="65"/>
      <c r="J164" s="65"/>
      <c r="K164" s="64"/>
      <c r="L164" s="64"/>
      <c r="M164" s="65"/>
      <c r="N164" s="141">
        <v>0</v>
      </c>
    </row>
    <row r="165" spans="1:14">
      <c r="A165" s="66"/>
      <c r="B165" s="65"/>
      <c r="C165" s="64"/>
      <c r="D165" s="64"/>
      <c r="E165" s="4"/>
      <c r="F165" s="127"/>
      <c r="G165" s="128"/>
      <c r="H165" s="33"/>
      <c r="I165" s="65"/>
      <c r="J165" s="65"/>
      <c r="K165" s="64"/>
      <c r="L165" s="64"/>
      <c r="M165" s="65"/>
      <c r="N165" s="65"/>
    </row>
    <row r="166" spans="1:14">
      <c r="A166" s="94">
        <v>42276</v>
      </c>
      <c r="B166" s="86">
        <v>290867</v>
      </c>
      <c r="C166" s="84" t="s">
        <v>85</v>
      </c>
      <c r="D166" s="83">
        <v>32.700000000000003</v>
      </c>
      <c r="E166" s="4"/>
      <c r="F166" s="127"/>
      <c r="G166" s="128"/>
      <c r="H166" s="84">
        <v>32.700000000000003</v>
      </c>
      <c r="I166" s="65"/>
      <c r="J166" s="65"/>
      <c r="K166" s="64"/>
      <c r="L166" s="64"/>
      <c r="M166" s="65"/>
      <c r="N166" s="141">
        <v>0</v>
      </c>
    </row>
    <row r="167" spans="1:14">
      <c r="A167" s="66"/>
      <c r="B167" s="65"/>
      <c r="C167" s="64"/>
      <c r="D167" s="64"/>
      <c r="E167" s="4"/>
      <c r="F167" s="127"/>
      <c r="G167" s="128"/>
      <c r="H167" s="33"/>
      <c r="I167" s="65"/>
      <c r="J167" s="65"/>
      <c r="K167" s="64"/>
      <c r="L167" s="64"/>
      <c r="M167" s="65"/>
      <c r="N167" s="65"/>
    </row>
    <row r="168" spans="1:14">
      <c r="A168" s="94">
        <v>42279</v>
      </c>
      <c r="B168" s="86">
        <v>290872</v>
      </c>
      <c r="C168" s="84" t="s">
        <v>86</v>
      </c>
      <c r="D168" s="83">
        <v>69.7</v>
      </c>
      <c r="E168" s="4"/>
      <c r="F168" s="127"/>
      <c r="G168" s="128"/>
      <c r="H168" s="84">
        <v>69.7</v>
      </c>
      <c r="I168" s="65"/>
      <c r="J168" s="65"/>
      <c r="K168" s="64"/>
      <c r="L168" s="64"/>
      <c r="M168" s="65"/>
      <c r="N168" s="141">
        <v>0</v>
      </c>
    </row>
    <row r="169" spans="1:14">
      <c r="A169" s="66"/>
      <c r="B169" s="65"/>
      <c r="C169" s="64"/>
      <c r="D169" s="64"/>
      <c r="E169" s="4"/>
      <c r="F169" s="127"/>
      <c r="G169" s="128"/>
      <c r="H169" s="33"/>
      <c r="I169" s="65"/>
      <c r="J169" s="65"/>
      <c r="K169" s="64"/>
      <c r="L169" s="64"/>
      <c r="M169" s="65"/>
      <c r="N169" s="65"/>
    </row>
    <row r="170" spans="1:14">
      <c r="A170" s="94">
        <v>42282</v>
      </c>
      <c r="B170" s="86">
        <v>290873</v>
      </c>
      <c r="C170" s="84" t="s">
        <v>87</v>
      </c>
      <c r="D170" s="83">
        <v>77.33</v>
      </c>
      <c r="E170" s="4"/>
      <c r="F170" s="127"/>
      <c r="G170" s="128"/>
      <c r="H170" s="84">
        <v>77.33</v>
      </c>
      <c r="I170" s="65"/>
      <c r="J170" s="65"/>
      <c r="K170" s="64"/>
      <c r="L170" s="64"/>
      <c r="M170" s="65"/>
      <c r="N170" s="141">
        <v>0</v>
      </c>
    </row>
    <row r="171" spans="1:14">
      <c r="A171" s="66"/>
      <c r="B171" s="65"/>
      <c r="C171" s="64"/>
      <c r="D171" s="64"/>
      <c r="E171" s="4"/>
      <c r="F171" s="127"/>
      <c r="G171" s="128"/>
      <c r="H171" s="33"/>
      <c r="I171" s="65"/>
      <c r="J171" s="65"/>
      <c r="K171" s="64"/>
      <c r="L171" s="64"/>
      <c r="M171" s="65"/>
      <c r="N171" s="65"/>
    </row>
    <row r="172" spans="1:14">
      <c r="A172" s="94">
        <v>42282</v>
      </c>
      <c r="B172" s="86">
        <v>290875</v>
      </c>
      <c r="C172" s="84" t="s">
        <v>38</v>
      </c>
      <c r="D172" s="83">
        <v>17.98</v>
      </c>
      <c r="E172" s="4"/>
      <c r="F172" s="127"/>
      <c r="G172" s="128"/>
      <c r="H172" s="84">
        <v>17.98</v>
      </c>
      <c r="I172" s="65"/>
      <c r="J172" s="65"/>
      <c r="K172" s="64"/>
      <c r="L172" s="64"/>
      <c r="M172" s="65"/>
      <c r="N172" s="141">
        <v>0</v>
      </c>
    </row>
    <row r="173" spans="1:14">
      <c r="A173" s="66"/>
      <c r="B173" s="65"/>
      <c r="C173" s="64"/>
      <c r="D173" s="64"/>
      <c r="E173" s="4"/>
      <c r="F173" s="127"/>
      <c r="G173" s="128"/>
      <c r="H173" s="33"/>
      <c r="I173" s="65"/>
      <c r="J173" s="65"/>
      <c r="K173" s="64"/>
      <c r="L173" s="64"/>
      <c r="M173" s="65"/>
      <c r="N173" s="65"/>
    </row>
    <row r="174" spans="1:14">
      <c r="A174" s="94">
        <v>42282</v>
      </c>
      <c r="B174" s="86">
        <v>290874</v>
      </c>
      <c r="C174" s="84" t="s">
        <v>38</v>
      </c>
      <c r="D174" s="83">
        <v>170.78</v>
      </c>
      <c r="E174" s="4"/>
      <c r="F174" s="127"/>
      <c r="G174" s="128"/>
      <c r="H174" s="84">
        <v>170.78</v>
      </c>
      <c r="I174" s="65"/>
      <c r="J174" s="65"/>
      <c r="K174" s="64"/>
      <c r="L174" s="64"/>
      <c r="M174" s="65"/>
      <c r="N174" s="141">
        <v>0</v>
      </c>
    </row>
    <row r="175" spans="1:14">
      <c r="A175" s="65"/>
      <c r="B175" s="49"/>
      <c r="C175" s="64"/>
      <c r="D175" s="65"/>
      <c r="E175" s="4"/>
      <c r="F175" s="127"/>
      <c r="G175" s="128"/>
      <c r="H175" s="5"/>
      <c r="I175" s="4"/>
      <c r="J175" s="4"/>
      <c r="K175" s="5"/>
      <c r="L175" s="5"/>
      <c r="M175" s="4"/>
      <c r="N175" s="4"/>
    </row>
    <row r="176" spans="1:14">
      <c r="A176" s="82" t="s">
        <v>30</v>
      </c>
      <c r="B176" s="204" t="s">
        <v>18</v>
      </c>
      <c r="C176" s="81" t="s">
        <v>30</v>
      </c>
      <c r="D176" s="81">
        <v>200</v>
      </c>
      <c r="E176" s="4"/>
      <c r="F176" s="129"/>
      <c r="G176" s="130"/>
      <c r="H176" s="11">
        <v>200</v>
      </c>
      <c r="I176" s="4"/>
      <c r="J176" s="4"/>
      <c r="K176" s="5"/>
      <c r="L176" s="5"/>
      <c r="M176" s="4"/>
      <c r="N176" s="6" t="s">
        <v>30</v>
      </c>
    </row>
    <row r="177" spans="1:14">
      <c r="A177" s="66"/>
      <c r="B177" s="68"/>
      <c r="C177" s="64"/>
      <c r="D177" s="65"/>
      <c r="E177" s="4"/>
      <c r="F177" s="4"/>
      <c r="G177" s="4"/>
      <c r="H177" s="5"/>
      <c r="I177" s="4"/>
      <c r="J177" s="4"/>
      <c r="K177" s="5"/>
      <c r="L177" s="5"/>
      <c r="M177" s="4"/>
      <c r="N177" s="4"/>
    </row>
    <row r="178" spans="1:14">
      <c r="A178" s="50"/>
      <c r="B178" s="53"/>
      <c r="C178" s="56" t="s">
        <v>31</v>
      </c>
      <c r="D178" s="57">
        <f>SUM(D157:D176)</f>
        <v>1750.22</v>
      </c>
      <c r="E178" s="51"/>
      <c r="F178" s="58" t="s">
        <v>32</v>
      </c>
      <c r="G178" s="56">
        <f>SUM(G162:G176)</f>
        <v>1443.5</v>
      </c>
      <c r="H178" s="51"/>
      <c r="I178" s="51"/>
      <c r="J178" s="58" t="s">
        <v>33</v>
      </c>
      <c r="K178" s="56">
        <f>SUM(K157:K176)</f>
        <v>0</v>
      </c>
      <c r="L178" s="52"/>
      <c r="M178" s="65"/>
      <c r="N178" s="64"/>
    </row>
    <row r="179" spans="1:14">
      <c r="A179" s="27"/>
      <c r="B179" s="59" t="s">
        <v>34</v>
      </c>
      <c r="C179" s="60"/>
      <c r="D179" s="133">
        <f>SUM(G178,K178)</f>
        <v>1443.5</v>
      </c>
      <c r="E179" s="28"/>
      <c r="F179" s="28"/>
      <c r="G179" s="29"/>
      <c r="H179" s="28"/>
      <c r="I179" s="28"/>
      <c r="J179" s="28"/>
      <c r="K179" s="29"/>
      <c r="L179" s="29"/>
      <c r="M179" s="65"/>
      <c r="N179" s="64"/>
    </row>
    <row r="180" spans="1:14" ht="15.75">
      <c r="A180" s="27"/>
      <c r="B180" s="61" t="s">
        <v>35</v>
      </c>
      <c r="C180" s="62"/>
      <c r="D180" s="117">
        <f>SUM(D179-D178)</f>
        <v>-306.72000000000003</v>
      </c>
      <c r="E180" s="28"/>
      <c r="F180" s="28"/>
      <c r="G180" s="28"/>
      <c r="H180" s="28"/>
      <c r="I180" s="28"/>
      <c r="J180" s="28"/>
      <c r="K180" s="28"/>
      <c r="L180" s="29"/>
      <c r="M180" s="65"/>
      <c r="N180" s="64"/>
    </row>
    <row r="181" spans="1:14">
      <c r="A181" s="3"/>
      <c r="B181" s="68"/>
      <c r="C181" s="64"/>
      <c r="D181" s="64"/>
      <c r="E181" s="65"/>
      <c r="F181" s="65"/>
      <c r="G181" s="64"/>
      <c r="H181" s="65"/>
      <c r="I181" s="65"/>
      <c r="J181" s="65"/>
      <c r="K181" s="64"/>
      <c r="L181" s="65"/>
      <c r="M181" s="65"/>
      <c r="N181" s="64"/>
    </row>
    <row r="182" spans="1:14" ht="18.75">
      <c r="A182" s="40"/>
      <c r="B182" s="30"/>
      <c r="C182" s="29"/>
      <c r="D182" s="28"/>
      <c r="E182" s="28"/>
      <c r="F182" s="120" t="s">
        <v>52</v>
      </c>
      <c r="G182" s="121"/>
      <c r="H182" s="121"/>
      <c r="I182" s="121"/>
      <c r="J182" s="121"/>
      <c r="K182" s="121"/>
      <c r="L182" s="122"/>
      <c r="M182" s="65"/>
      <c r="N182" s="64"/>
    </row>
    <row r="183" spans="1:14">
      <c r="A183" s="3"/>
      <c r="B183" s="4"/>
      <c r="C183" s="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1:14">
      <c r="A184" s="3"/>
      <c r="B184" s="4"/>
      <c r="C184" s="5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1:14">
      <c r="A185" s="3"/>
      <c r="B185" s="4"/>
      <c r="C185" s="5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1:14">
      <c r="A186" s="3"/>
      <c r="B186" s="4"/>
      <c r="C186" s="5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1:14">
      <c r="A187" s="3"/>
      <c r="B187" s="4"/>
      <c r="C187" s="5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1:14">
      <c r="A188" s="3"/>
      <c r="B188" s="4"/>
      <c r="C188" s="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1:14">
      <c r="A189" s="3"/>
      <c r="B189" s="4"/>
      <c r="C189" s="5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1:14">
      <c r="A190" s="3"/>
      <c r="B190" s="9"/>
      <c r="C190" s="5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1:14">
      <c r="A191" s="3"/>
      <c r="B191" s="4"/>
      <c r="C191" s="5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1:14">
      <c r="A192" s="3"/>
      <c r="B192" s="4"/>
      <c r="C192" s="5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1:14">
      <c r="A193" s="3"/>
      <c r="B193" s="4"/>
      <c r="C193" s="5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1:14">
      <c r="A194" s="3"/>
      <c r="B194" s="4"/>
      <c r="C194" s="5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1:14">
      <c r="A195" s="3"/>
      <c r="B195" s="4"/>
      <c r="C195" s="5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1:14">
      <c r="A196" s="3"/>
      <c r="B196" s="4"/>
      <c r="C196" s="5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1:14">
      <c r="A197" s="3"/>
      <c r="B197" s="4"/>
      <c r="C197" s="5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1:14">
      <c r="A198" s="3"/>
      <c r="B198" s="4"/>
      <c r="C198" s="5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1:14">
      <c r="A199" s="3"/>
      <c r="B199" s="4"/>
      <c r="C199" s="5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1:14">
      <c r="A200" s="3"/>
      <c r="B200" s="4"/>
      <c r="C200" s="5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1:14">
      <c r="A201" s="3"/>
      <c r="B201" s="4"/>
      <c r="C201" s="5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1:14">
      <c r="A202" s="3"/>
      <c r="B202" s="4"/>
      <c r="C202" s="5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1:14">
      <c r="A203" s="3"/>
      <c r="B203" s="4"/>
      <c r="C203" s="5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1:14">
      <c r="A204" s="3"/>
      <c r="B204" s="4"/>
      <c r="C204" s="5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1:14">
      <c r="A205" s="3"/>
      <c r="B205" s="4"/>
      <c r="C205" s="5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1:14">
      <c r="A206" s="3"/>
      <c r="B206" s="4"/>
      <c r="C206" s="5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1:14">
      <c r="A207" s="3"/>
      <c r="B207" s="9"/>
      <c r="C207" s="5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1:14">
      <c r="A208" s="3"/>
      <c r="B208" s="4"/>
      <c r="C208" s="5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1:14">
      <c r="A209" s="3"/>
      <c r="B209" s="4"/>
      <c r="C209" s="5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1:14">
      <c r="A210" s="3"/>
      <c r="B210" s="4"/>
      <c r="C210" s="5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1:14">
      <c r="A211" s="3"/>
      <c r="B211" s="4"/>
      <c r="C211" s="5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1:14">
      <c r="A212" s="3"/>
      <c r="B212" s="4"/>
      <c r="C212" s="5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1:14">
      <c r="A213" s="3"/>
      <c r="B213" s="4"/>
      <c r="C213" s="5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1:14">
      <c r="A214" s="3"/>
      <c r="B214" s="4"/>
      <c r="C214" s="5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1:14">
      <c r="A215" s="3"/>
      <c r="B215" s="4"/>
      <c r="C215" s="5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1:14">
      <c r="A216" s="3"/>
      <c r="B216" s="4"/>
      <c r="C216" s="5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1:14">
      <c r="A217" s="3"/>
      <c r="B217" s="4"/>
      <c r="C217" s="5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1:14">
      <c r="A218" s="3"/>
      <c r="B218" s="4"/>
      <c r="C218" s="5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1:14">
      <c r="A219" s="20"/>
      <c r="B219" s="21"/>
      <c r="C219" s="22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</row>
    <row r="220" spans="1:14">
      <c r="A220" s="1"/>
      <c r="C220" s="2">
        <f>SUM(C1:C218)</f>
        <v>42240.933566433567</v>
      </c>
    </row>
    <row r="221" spans="1:14">
      <c r="A221" s="1"/>
      <c r="C221" s="2"/>
    </row>
    <row r="222" spans="1:14">
      <c r="A222" s="1"/>
      <c r="C222" s="2"/>
    </row>
    <row r="223" spans="1:14">
      <c r="A223" s="1"/>
      <c r="C223" s="2"/>
    </row>
    <row r="224" spans="1:14">
      <c r="A224" s="1"/>
      <c r="C224" s="2"/>
    </row>
    <row r="225" spans="1:3">
      <c r="A225" s="1"/>
      <c r="C225" s="2"/>
    </row>
    <row r="226" spans="1:3">
      <c r="A226" s="1"/>
      <c r="C226" s="2"/>
    </row>
    <row r="227" spans="1:3">
      <c r="A227" s="1"/>
      <c r="C227" s="2"/>
    </row>
    <row r="228" spans="1:3">
      <c r="A228" s="1"/>
      <c r="C228" s="2"/>
    </row>
    <row r="229" spans="1:3">
      <c r="A229" s="1"/>
      <c r="C229" s="2"/>
    </row>
    <row r="230" spans="1:3">
      <c r="A230" s="1"/>
      <c r="C230" s="2"/>
    </row>
    <row r="231" spans="1:3">
      <c r="A231" s="1"/>
      <c r="C231" s="2"/>
    </row>
    <row r="232" spans="1:3">
      <c r="A232" s="1"/>
      <c r="C232" s="2"/>
    </row>
    <row r="233" spans="1:3">
      <c r="A233" s="1"/>
      <c r="C233" s="2"/>
    </row>
    <row r="234" spans="1:3">
      <c r="A234" s="1"/>
      <c r="C234" s="2"/>
    </row>
    <row r="235" spans="1:3">
      <c r="A235" s="1"/>
      <c r="C235" s="2"/>
    </row>
    <row r="236" spans="1:3">
      <c r="A236" s="1"/>
      <c r="C236" s="2"/>
    </row>
    <row r="237" spans="1:3">
      <c r="A237" s="1"/>
      <c r="C237" s="2"/>
    </row>
    <row r="238" spans="1:3">
      <c r="A238" s="1"/>
      <c r="C238" s="2"/>
    </row>
  </sheetData>
  <mergeCells count="80">
    <mergeCell ref="B179:C179"/>
    <mergeCell ref="B180:C180"/>
    <mergeCell ref="F182:L182"/>
    <mergeCell ref="F162:F176"/>
    <mergeCell ref="G162:G176"/>
    <mergeCell ref="F153:H153"/>
    <mergeCell ref="A155:N155"/>
    <mergeCell ref="M27:N27"/>
    <mergeCell ref="A161:A162"/>
    <mergeCell ref="B161:B162"/>
    <mergeCell ref="C161:C162"/>
    <mergeCell ref="D161:D162"/>
    <mergeCell ref="N161:N162"/>
    <mergeCell ref="B146:C146"/>
    <mergeCell ref="F148:L148"/>
    <mergeCell ref="F150:H150"/>
    <mergeCell ref="F133:F139"/>
    <mergeCell ref="G133:G139"/>
    <mergeCell ref="J133:J135"/>
    <mergeCell ref="K133:K135"/>
    <mergeCell ref="B145:C145"/>
    <mergeCell ref="F112:H112"/>
    <mergeCell ref="A114:N114"/>
    <mergeCell ref="F129:F131"/>
    <mergeCell ref="G129:G131"/>
    <mergeCell ref="B118:B119"/>
    <mergeCell ref="C118:C119"/>
    <mergeCell ref="D118:D119"/>
    <mergeCell ref="F119:F123"/>
    <mergeCell ref="G119:G123"/>
    <mergeCell ref="A118:A119"/>
    <mergeCell ref="N118:N119"/>
    <mergeCell ref="B82:C82"/>
    <mergeCell ref="L80:M80"/>
    <mergeCell ref="F109:H109"/>
    <mergeCell ref="G89:G95"/>
    <mergeCell ref="F97:F99"/>
    <mergeCell ref="G97:G99"/>
    <mergeCell ref="H108:I108"/>
    <mergeCell ref="J81:L81"/>
    <mergeCell ref="B104:C104"/>
    <mergeCell ref="B105:C105"/>
    <mergeCell ref="F107:L107"/>
    <mergeCell ref="G65:G67"/>
    <mergeCell ref="F78:L78"/>
    <mergeCell ref="A77:G77"/>
    <mergeCell ref="B14:C14"/>
    <mergeCell ref="J15:L15"/>
    <mergeCell ref="F16:L16"/>
    <mergeCell ref="B19:C19"/>
    <mergeCell ref="F37:L37"/>
    <mergeCell ref="B40:C40"/>
    <mergeCell ref="F51:F53"/>
    <mergeCell ref="G51:G53"/>
    <mergeCell ref="A83:N83"/>
    <mergeCell ref="F89:F95"/>
    <mergeCell ref="F65:F67"/>
    <mergeCell ref="M8:N8"/>
    <mergeCell ref="B74:C74"/>
    <mergeCell ref="B75:C75"/>
    <mergeCell ref="J49:J53"/>
    <mergeCell ref="K49:K53"/>
    <mergeCell ref="F43:F45"/>
    <mergeCell ref="G43:G45"/>
    <mergeCell ref="B57:C57"/>
    <mergeCell ref="B58:C58"/>
    <mergeCell ref="F59:L59"/>
    <mergeCell ref="B62:C62"/>
    <mergeCell ref="A63:N63"/>
    <mergeCell ref="B35:C35"/>
    <mergeCell ref="B36:C36"/>
    <mergeCell ref="A1:N1"/>
    <mergeCell ref="A21:N21"/>
    <mergeCell ref="F23:F31"/>
    <mergeCell ref="G23:G31"/>
    <mergeCell ref="A41:N41"/>
    <mergeCell ref="B15:C15"/>
    <mergeCell ref="B20:C20"/>
    <mergeCell ref="H132:J132"/>
    <mergeCell ref="H113:J113"/>
  </mergeCells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Tomsu</dc:creator>
  <cp:lastModifiedBy>Scott Tomsu</cp:lastModifiedBy>
  <cp:lastPrinted>2015-08-19T09:05:53Z</cp:lastPrinted>
  <dcterms:created xsi:type="dcterms:W3CDTF">2015-03-08T07:51:19Z</dcterms:created>
  <dcterms:modified xsi:type="dcterms:W3CDTF">2015-10-05T23:59:50Z</dcterms:modified>
</cp:coreProperties>
</file>